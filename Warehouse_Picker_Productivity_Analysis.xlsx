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120" yWindow="45" windowWidth="11475" windowHeight="7245" activeTab="5"/>
  </bookViews>
  <sheets>
    <sheet name="Raw_Data" sheetId="1" r:id="rId1"/>
    <sheet name="Picker_Master" sheetId="2" r:id="rId2"/>
    <sheet name="Sheet4" sheetId="4" r:id="rId3"/>
    <sheet name="Sheet5" sheetId="5" r:id="rId4"/>
    <sheet name="Sheet6" sheetId="6" r:id="rId5"/>
    <sheet name="Sheet7" sheetId="7" r:id="rId6"/>
  </sheets>
  <calcPr calcId="144525"/>
  <pivotCaches>
    <pivotCache cacheId="0" r:id="rId7"/>
  </pivotCaches>
</workbook>
</file>

<file path=xl/calcChain.xml><?xml version="1.0" encoding="utf-8"?>
<calcChain xmlns="http://schemas.openxmlformats.org/spreadsheetml/2006/main">
  <c r="J6" i="7" l="1"/>
  <c r="D6" i="7"/>
  <c r="B6" i="7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12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O33" i="1" s="1"/>
  <c r="N34" i="1"/>
  <c r="N35" i="1"/>
  <c r="O35" i="1" s="1"/>
  <c r="N36" i="1"/>
  <c r="N37" i="1"/>
  <c r="O37" i="1" s="1"/>
  <c r="N38" i="1"/>
  <c r="O38" i="1" s="1"/>
  <c r="N39" i="1"/>
  <c r="N40" i="1"/>
  <c r="O40" i="1" s="1"/>
  <c r="N41" i="1"/>
  <c r="O41" i="1" s="1"/>
  <c r="N42" i="1"/>
  <c r="N43" i="1"/>
  <c r="N44" i="1"/>
  <c r="O44" i="1" s="1"/>
  <c r="N45" i="1"/>
  <c r="O45" i="1" s="1"/>
  <c r="N46" i="1"/>
  <c r="O46" i="1" s="1"/>
  <c r="N47" i="1"/>
  <c r="N48" i="1"/>
  <c r="O48" i="1" s="1"/>
  <c r="N49" i="1"/>
  <c r="N50" i="1"/>
  <c r="N5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4" i="1"/>
  <c r="O36" i="1"/>
  <c r="O39" i="1"/>
  <c r="O42" i="1"/>
  <c r="O43" i="1"/>
  <c r="O47" i="1"/>
  <c r="O49" i="1"/>
  <c r="O50" i="1"/>
  <c r="O51" i="1"/>
  <c r="C2" i="1"/>
  <c r="L2" i="1"/>
  <c r="L3" i="1"/>
  <c r="L4" i="1"/>
  <c r="L5" i="1"/>
  <c r="L6" i="1"/>
  <c r="L7" i="1"/>
  <c r="L8" i="1"/>
  <c r="L9" i="1"/>
  <c r="L10" i="1"/>
  <c r="L11" i="1"/>
  <c r="K2" i="1"/>
  <c r="K3" i="1"/>
  <c r="K4" i="1"/>
  <c r="K5" i="1"/>
  <c r="K6" i="1"/>
  <c r="N6" i="1" s="1"/>
  <c r="O6" i="1" s="1"/>
  <c r="K7" i="1"/>
  <c r="K8" i="1"/>
  <c r="K9" i="1"/>
  <c r="K10" i="1"/>
  <c r="K11" i="1"/>
  <c r="J2" i="1"/>
  <c r="M2" i="1" s="1"/>
  <c r="J3" i="1"/>
  <c r="M3" i="1" s="1"/>
  <c r="J4" i="1"/>
  <c r="M4" i="1" s="1"/>
  <c r="J5" i="1"/>
  <c r="J6" i="1"/>
  <c r="M6" i="1" s="1"/>
  <c r="J7" i="1"/>
  <c r="M7" i="1" s="1"/>
  <c r="J8" i="1"/>
  <c r="M8" i="1" s="1"/>
  <c r="J9" i="1"/>
  <c r="N9" i="1" s="1"/>
  <c r="O9" i="1" s="1"/>
  <c r="J10" i="1"/>
  <c r="M10" i="1" s="1"/>
  <c r="J11" i="1"/>
  <c r="M11" i="1" s="1"/>
  <c r="H6" i="7" l="1"/>
  <c r="N5" i="1"/>
  <c r="O5" i="1" s="1"/>
  <c r="N7" i="1"/>
  <c r="O7" i="1" s="1"/>
  <c r="M9" i="1"/>
  <c r="N8" i="1"/>
  <c r="O8" i="1" s="1"/>
  <c r="F6" i="7"/>
  <c r="N4" i="1"/>
  <c r="O4" i="1" s="1"/>
  <c r="N3" i="1"/>
  <c r="O3" i="1" s="1"/>
  <c r="M5" i="1"/>
  <c r="N11" i="1"/>
  <c r="O11" i="1" s="1"/>
  <c r="N10" i="1"/>
  <c r="O10" i="1" s="1"/>
  <c r="N2" i="1"/>
  <c r="O2" i="1" s="1"/>
</calcChain>
</file>

<file path=xl/sharedStrings.xml><?xml version="1.0" encoding="utf-8"?>
<sst xmlns="http://schemas.openxmlformats.org/spreadsheetml/2006/main" count="169" uniqueCount="43">
  <si>
    <t>Date</t>
  </si>
  <si>
    <t>Picker_ID</t>
  </si>
  <si>
    <t>Picker_Name</t>
  </si>
  <si>
    <t>Shift</t>
  </si>
  <si>
    <t>Orders</t>
  </si>
  <si>
    <t>Working_Hours</t>
  </si>
  <si>
    <t>Errors</t>
  </si>
  <si>
    <t>Incentive</t>
  </si>
  <si>
    <t>Items_Picked</t>
  </si>
  <si>
    <t>P001</t>
  </si>
  <si>
    <t>Himanshu</t>
  </si>
  <si>
    <t>Morning</t>
  </si>
  <si>
    <t>P002</t>
  </si>
  <si>
    <t>P003</t>
  </si>
  <si>
    <t>P004</t>
  </si>
  <si>
    <t xml:space="preserve">Rahul </t>
  </si>
  <si>
    <t>Amit</t>
  </si>
  <si>
    <t>Rohit</t>
  </si>
  <si>
    <t>Evening</t>
  </si>
  <si>
    <t>Pick Rate</t>
  </si>
  <si>
    <t>Error rate</t>
  </si>
  <si>
    <t>Incentive_Per_Hour</t>
  </si>
  <si>
    <t>Performance_Status</t>
  </si>
  <si>
    <t>Performance_Score</t>
  </si>
  <si>
    <t>Performance_Rating</t>
  </si>
  <si>
    <t>Rahul</t>
  </si>
  <si>
    <t>Row Labels</t>
  </si>
  <si>
    <t>Grand Total</t>
  </si>
  <si>
    <t>Sum of Items_Picked</t>
  </si>
  <si>
    <t>Average of Pick Rate</t>
  </si>
  <si>
    <t>Average of Error rate</t>
  </si>
  <si>
    <t>Sum of Orders</t>
  </si>
  <si>
    <t>Sum of Errors</t>
  </si>
  <si>
    <t>Sum of Incentive</t>
  </si>
  <si>
    <t>Average of Performance_Score</t>
  </si>
  <si>
    <t>TOTAL ORDERS</t>
  </si>
  <si>
    <t>TOTAL ITEMS</t>
  </si>
  <si>
    <t>AVG PICK RATE</t>
  </si>
  <si>
    <t>AVG ERROR RATE</t>
  </si>
  <si>
    <t>TOTAL INCENTIVE</t>
  </si>
  <si>
    <t>TOP PERFORMER</t>
  </si>
  <si>
    <t>AMIT</t>
  </si>
  <si>
    <t>WAREHOUSE PICKER PRODUCTIVITY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</si>
</sst>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5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5" fontId="1" fillId="0" borderId="7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2" fontId="1" fillId="0" borderId="3" xfId="0" applyNumberFormat="1" applyFont="1" applyBorder="1" applyAlignment="1">
      <alignment horizontal="center"/>
    </xf>
    <xf numFmtId="0" fontId="1" fillId="0" borderId="3" xfId="0" applyNumberFormat="1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0" fontId="1" fillId="0" borderId="9" xfId="0" applyNumberFormat="1" applyFont="1" applyBorder="1" applyAlignment="1">
      <alignment horizontal="center"/>
    </xf>
    <xf numFmtId="0" fontId="1" fillId="0" borderId="8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pivotButton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65">
    <dxf>
      <numFmt numFmtId="169" formatCode="0.000"/>
    </dxf>
    <dxf>
      <numFmt numFmtId="2" formatCode="0.00"/>
    </dxf>
    <dxf>
      <numFmt numFmtId="168" formatCode="0.0000"/>
    </dxf>
    <dxf>
      <numFmt numFmtId="167" formatCode="0.00000"/>
    </dxf>
    <dxf>
      <numFmt numFmtId="166" formatCode="0.000000"/>
    </dxf>
    <dxf>
      <numFmt numFmtId="165" formatCode="0.0000000"/>
    </dxf>
    <dxf>
      <numFmt numFmtId="169" formatCode="0.000"/>
    </dxf>
    <dxf>
      <numFmt numFmtId="2" formatCode="0.00"/>
    </dxf>
    <dxf>
      <numFmt numFmtId="168" formatCode="0.0000"/>
    </dxf>
    <dxf>
      <numFmt numFmtId="167" formatCode="0.00000"/>
    </dxf>
    <dxf>
      <numFmt numFmtId="166" formatCode="0.000000"/>
    </dxf>
    <dxf>
      <numFmt numFmtId="165" formatCode="0.0000000"/>
    </dxf>
    <dxf>
      <numFmt numFmtId="169" formatCode="0.000"/>
    </dxf>
    <dxf>
      <numFmt numFmtId="2" formatCode="0.00"/>
    </dxf>
    <dxf>
      <numFmt numFmtId="168" formatCode="0.0000"/>
    </dxf>
    <dxf>
      <numFmt numFmtId="167" formatCode="0.00000"/>
    </dxf>
    <dxf>
      <numFmt numFmtId="166" formatCode="0.000000"/>
    </dxf>
    <dxf>
      <numFmt numFmtId="165" formatCode="0.0000000"/>
    </dxf>
    <dxf>
      <numFmt numFmtId="172" formatCode="0.00000000"/>
    </dxf>
    <dxf>
      <numFmt numFmtId="170" formatCode="0.000000000"/>
    </dxf>
    <dxf>
      <numFmt numFmtId="171" formatCode="0.0000000000"/>
    </dxf>
    <dxf>
      <numFmt numFmtId="170" formatCode="0.00000000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numFmt numFmtId="164" formatCode="0.0"/>
    </dxf>
    <dxf>
      <numFmt numFmtId="2" formatCode="0.00"/>
    </dxf>
    <dxf>
      <numFmt numFmtId="2" formatCode="0.00"/>
    </dxf>
    <dxf>
      <numFmt numFmtId="169" formatCode="0.000"/>
    </dxf>
    <dxf>
      <numFmt numFmtId="168" formatCode="0.0000"/>
    </dxf>
    <dxf>
      <numFmt numFmtId="167" formatCode="0.00000"/>
    </dxf>
    <dxf>
      <numFmt numFmtId="166" formatCode="0.000000"/>
    </dxf>
    <dxf>
      <numFmt numFmtId="165" formatCode="0.000000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0.0"/>
    </dxf>
    <dxf>
      <numFmt numFmtId="2" formatCode="0.00"/>
    </dxf>
    <dxf>
      <numFmt numFmtId="164" formatCode="0.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0" formatCode="dd/mmm/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[Warehouse_Picker_Productivity_Tracker.xlsx]Sheet4!PivotTable1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Sheet4!$A$4:$A$9</c:f>
              <c:strCache>
                <c:ptCount val="5"/>
                <c:pt idx="0">
                  <c:v>Amit</c:v>
                </c:pt>
                <c:pt idx="1">
                  <c:v>Himanshu</c:v>
                </c:pt>
                <c:pt idx="2">
                  <c:v>Rahul</c:v>
                </c:pt>
                <c:pt idx="3">
                  <c:v>Rahul </c:v>
                </c:pt>
                <c:pt idx="4">
                  <c:v>Rohit</c:v>
                </c:pt>
              </c:strCache>
            </c:strRef>
          </c:cat>
          <c:val>
            <c:numRef>
              <c:f>Sheet4!$B$4:$B$9</c:f>
              <c:numCache>
                <c:formatCode>0</c:formatCode>
                <c:ptCount val="5"/>
                <c:pt idx="0">
                  <c:v>23.25</c:v>
                </c:pt>
                <c:pt idx="1">
                  <c:v>20.932692307692307</c:v>
                </c:pt>
                <c:pt idx="2">
                  <c:v>19.05</c:v>
                </c:pt>
                <c:pt idx="3">
                  <c:v>18.333333333333332</c:v>
                </c:pt>
                <c:pt idx="4">
                  <c:v>19.785714285714285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0288768"/>
        <c:axId val="220886144"/>
      </c:barChart>
      <c:catAx>
        <c:axId val="230288768"/>
        <c:scaling>
          <c:orientation val="minMax"/>
        </c:scaling>
        <c:delete val="0"/>
        <c:axPos val="b"/>
        <c:majorTickMark val="out"/>
        <c:minorTickMark val="none"/>
        <c:tickLblPos val="nextTo"/>
        <c:crossAx val="220886144"/>
        <c:crosses val="autoZero"/>
        <c:auto val="1"/>
        <c:lblAlgn val="ctr"/>
        <c:lblOffset val="100"/>
        <c:noMultiLvlLbl val="0"/>
      </c:catAx>
      <c:valAx>
        <c:axId val="22088614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302887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[Warehouse_Picker_Productivity_Tracker.xlsx]Sheet5!PivotTable2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Sum of Orders</c:v>
                </c:pt>
              </c:strCache>
            </c:strRef>
          </c:tx>
          <c:invertIfNegative val="0"/>
          <c:cat>
            <c:strRef>
              <c:f>Sheet5!$A$4:$A$6</c:f>
              <c:strCache>
                <c:ptCount val="2"/>
                <c:pt idx="0">
                  <c:v>Evening</c:v>
                </c:pt>
                <c:pt idx="1">
                  <c:v>Morning</c:v>
                </c:pt>
              </c:strCache>
            </c:strRef>
          </c:cat>
          <c:val>
            <c:numRef>
              <c:f>Sheet5!$B$4:$B$6</c:f>
              <c:numCache>
                <c:formatCode>General</c:formatCode>
                <c:ptCount val="2"/>
                <c:pt idx="0">
                  <c:v>2016</c:v>
                </c:pt>
                <c:pt idx="1">
                  <c:v>2157</c:v>
                </c:pt>
              </c:numCache>
            </c:numRef>
          </c:val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Items_Picked</c:v>
                </c:pt>
              </c:strCache>
            </c:strRef>
          </c:tx>
          <c:invertIfNegative val="0"/>
          <c:cat>
            <c:strRef>
              <c:f>Sheet5!$A$4:$A$6</c:f>
              <c:strCache>
                <c:ptCount val="2"/>
                <c:pt idx="0">
                  <c:v>Evening</c:v>
                </c:pt>
                <c:pt idx="1">
                  <c:v>Morning</c:v>
                </c:pt>
              </c:strCache>
            </c:strRef>
          </c:cat>
          <c:val>
            <c:numRef>
              <c:f>Sheet5!$C$4:$C$6</c:f>
              <c:numCache>
                <c:formatCode>General</c:formatCode>
                <c:ptCount val="2"/>
                <c:pt idx="0">
                  <c:v>3894</c:v>
                </c:pt>
                <c:pt idx="1">
                  <c:v>4141</c:v>
                </c:pt>
              </c:numCache>
            </c:numRef>
          </c:val>
        </c:ser>
        <c:ser>
          <c:idx val="2"/>
          <c:order val="2"/>
          <c:tx>
            <c:strRef>
              <c:f>Sheet5!$D$3</c:f>
              <c:strCache>
                <c:ptCount val="1"/>
                <c:pt idx="0">
                  <c:v>Sum of Errors</c:v>
                </c:pt>
              </c:strCache>
            </c:strRef>
          </c:tx>
          <c:invertIfNegative val="0"/>
          <c:cat>
            <c:strRef>
              <c:f>Sheet5!$A$4:$A$6</c:f>
              <c:strCache>
                <c:ptCount val="2"/>
                <c:pt idx="0">
                  <c:v>Evening</c:v>
                </c:pt>
                <c:pt idx="1">
                  <c:v>Morning</c:v>
                </c:pt>
              </c:strCache>
            </c:strRef>
          </c:cat>
          <c:val>
            <c:numRef>
              <c:f>Sheet5!$D$4:$D$6</c:f>
              <c:numCache>
                <c:formatCode>General</c:formatCode>
                <c:ptCount val="2"/>
                <c:pt idx="0">
                  <c:v>83</c:v>
                </c:pt>
                <c:pt idx="1">
                  <c:v>87</c:v>
                </c:pt>
              </c:numCache>
            </c:numRef>
          </c:val>
        </c:ser>
        <c:ser>
          <c:idx val="3"/>
          <c:order val="3"/>
          <c:tx>
            <c:strRef>
              <c:f>Sheet5!$E$3</c:f>
              <c:strCache>
                <c:ptCount val="1"/>
                <c:pt idx="0">
                  <c:v>Average of Pick Rate</c:v>
                </c:pt>
              </c:strCache>
            </c:strRef>
          </c:tx>
          <c:invertIfNegative val="0"/>
          <c:cat>
            <c:strRef>
              <c:f>Sheet5!$A$4:$A$6</c:f>
              <c:strCache>
                <c:ptCount val="2"/>
                <c:pt idx="0">
                  <c:v>Evening</c:v>
                </c:pt>
                <c:pt idx="1">
                  <c:v>Morning</c:v>
                </c:pt>
              </c:strCache>
            </c:strRef>
          </c:cat>
          <c:val>
            <c:numRef>
              <c:f>Sheet5!$E$4:$E$6</c:f>
              <c:numCache>
                <c:formatCode>0.00</c:formatCode>
                <c:ptCount val="2"/>
                <c:pt idx="0">
                  <c:v>21.517857142857142</c:v>
                </c:pt>
                <c:pt idx="1">
                  <c:v>19.908653846153847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1071744"/>
        <c:axId val="231073280"/>
      </c:barChart>
      <c:catAx>
        <c:axId val="231071744"/>
        <c:scaling>
          <c:orientation val="minMax"/>
        </c:scaling>
        <c:delete val="0"/>
        <c:axPos val="b"/>
        <c:majorTickMark val="out"/>
        <c:minorTickMark val="none"/>
        <c:tickLblPos val="nextTo"/>
        <c:crossAx val="231073280"/>
        <c:crosses val="autoZero"/>
        <c:auto val="1"/>
        <c:lblAlgn val="ctr"/>
        <c:lblOffset val="100"/>
        <c:noMultiLvlLbl val="0"/>
      </c:catAx>
      <c:valAx>
        <c:axId val="231073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10717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[Warehouse_Picker_Productivity_Tracker.xlsx]Sheet6!PivotTable3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Average of Performance_Score</c:v>
                </c:pt>
              </c:strCache>
            </c:strRef>
          </c:tx>
          <c:invertIfNegative val="0"/>
          <c:cat>
            <c:strRef>
              <c:f>Sheet6!$A$4:$A$9</c:f>
              <c:strCache>
                <c:ptCount val="5"/>
                <c:pt idx="0">
                  <c:v>Amit</c:v>
                </c:pt>
                <c:pt idx="1">
                  <c:v>Himanshu</c:v>
                </c:pt>
                <c:pt idx="2">
                  <c:v>Rahul</c:v>
                </c:pt>
                <c:pt idx="3">
                  <c:v>Rahul </c:v>
                </c:pt>
                <c:pt idx="4">
                  <c:v>Rohit</c:v>
                </c:pt>
              </c:strCache>
            </c:strRef>
          </c:cat>
          <c:val>
            <c:numRef>
              <c:f>Sheet6!$B$4:$B$9</c:f>
              <c:numCache>
                <c:formatCode>0.0</c:formatCode>
                <c:ptCount val="5"/>
                <c:pt idx="0">
                  <c:v>94.775589048504415</c:v>
                </c:pt>
                <c:pt idx="1">
                  <c:v>88.083748299803545</c:v>
                </c:pt>
                <c:pt idx="2">
                  <c:v>82.624444504416743</c:v>
                </c:pt>
                <c:pt idx="3">
                  <c:v>80.44421115148792</c:v>
                </c:pt>
                <c:pt idx="4">
                  <c:v>84.327848794534376</c:v>
                </c:pt>
              </c:numCache>
            </c:numRef>
          </c:val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Average of Error rate</c:v>
                </c:pt>
              </c:strCache>
            </c:strRef>
          </c:tx>
          <c:invertIfNegative val="0"/>
          <c:cat>
            <c:strRef>
              <c:f>Sheet6!$A$4:$A$9</c:f>
              <c:strCache>
                <c:ptCount val="5"/>
                <c:pt idx="0">
                  <c:v>Amit</c:v>
                </c:pt>
                <c:pt idx="1">
                  <c:v>Himanshu</c:v>
                </c:pt>
                <c:pt idx="2">
                  <c:v>Rahul</c:v>
                </c:pt>
                <c:pt idx="3">
                  <c:v>Rahul </c:v>
                </c:pt>
                <c:pt idx="4">
                  <c:v>Rohit</c:v>
                </c:pt>
              </c:strCache>
            </c:strRef>
          </c:cat>
          <c:val>
            <c:numRef>
              <c:f>Sheet6!$C$4:$C$9</c:f>
              <c:numCache>
                <c:formatCode>0.00</c:formatCode>
                <c:ptCount val="5"/>
                <c:pt idx="0">
                  <c:v>1.0813698383186658</c:v>
                </c:pt>
                <c:pt idx="1">
                  <c:v>1.7593005391164485</c:v>
                </c:pt>
                <c:pt idx="2">
                  <c:v>2.3851849852775033</c:v>
                </c:pt>
                <c:pt idx="3">
                  <c:v>2.963740606151362</c:v>
                </c:pt>
                <c:pt idx="4">
                  <c:v>3.5738373515520707</c:v>
                </c:pt>
              </c:numCache>
            </c:numRef>
          </c:val>
        </c:ser>
        <c:ser>
          <c:idx val="2"/>
          <c:order val="2"/>
          <c:tx>
            <c:strRef>
              <c:f>Sheet6!$D$3</c:f>
              <c:strCache>
                <c:ptCount val="1"/>
                <c:pt idx="0">
                  <c:v>Average of Pick Rate</c:v>
                </c:pt>
              </c:strCache>
            </c:strRef>
          </c:tx>
          <c:invertIfNegative val="0"/>
          <c:cat>
            <c:strRef>
              <c:f>Sheet6!$A$4:$A$9</c:f>
              <c:strCache>
                <c:ptCount val="5"/>
                <c:pt idx="0">
                  <c:v>Amit</c:v>
                </c:pt>
                <c:pt idx="1">
                  <c:v>Himanshu</c:v>
                </c:pt>
                <c:pt idx="2">
                  <c:v>Rahul</c:v>
                </c:pt>
                <c:pt idx="3">
                  <c:v>Rahul </c:v>
                </c:pt>
                <c:pt idx="4">
                  <c:v>Rohit</c:v>
                </c:pt>
              </c:strCache>
            </c:strRef>
          </c:cat>
          <c:val>
            <c:numRef>
              <c:f>Sheet6!$D$4:$D$9</c:f>
              <c:numCache>
                <c:formatCode>0.0</c:formatCode>
                <c:ptCount val="5"/>
                <c:pt idx="0">
                  <c:v>23.25</c:v>
                </c:pt>
                <c:pt idx="1">
                  <c:v>20.932692307692307</c:v>
                </c:pt>
                <c:pt idx="2">
                  <c:v>19.05</c:v>
                </c:pt>
                <c:pt idx="3">
                  <c:v>18.333333333333332</c:v>
                </c:pt>
                <c:pt idx="4">
                  <c:v>19.785714285714285</c:v>
                </c:pt>
              </c:numCache>
            </c:numRef>
          </c:val>
        </c:ser>
        <c:ser>
          <c:idx val="3"/>
          <c:order val="3"/>
          <c:tx>
            <c:strRef>
              <c:f>Sheet6!$E$3</c:f>
              <c:strCache>
                <c:ptCount val="1"/>
                <c:pt idx="0">
                  <c:v>Sum of Incentive</c:v>
                </c:pt>
              </c:strCache>
            </c:strRef>
          </c:tx>
          <c:invertIfNegative val="0"/>
          <c:cat>
            <c:strRef>
              <c:f>Sheet6!$A$4:$A$9</c:f>
              <c:strCache>
                <c:ptCount val="5"/>
                <c:pt idx="0">
                  <c:v>Amit</c:v>
                </c:pt>
                <c:pt idx="1">
                  <c:v>Himanshu</c:v>
                </c:pt>
                <c:pt idx="2">
                  <c:v>Rahul</c:v>
                </c:pt>
                <c:pt idx="3">
                  <c:v>Rahul </c:v>
                </c:pt>
                <c:pt idx="4">
                  <c:v>Rohit</c:v>
                </c:pt>
              </c:strCache>
            </c:strRef>
          </c:cat>
          <c:val>
            <c:numRef>
              <c:f>Sheet6!$E$4:$E$9</c:f>
              <c:numCache>
                <c:formatCode>General</c:formatCode>
                <c:ptCount val="5"/>
                <c:pt idx="0">
                  <c:v>4420</c:v>
                </c:pt>
                <c:pt idx="1">
                  <c:v>4395</c:v>
                </c:pt>
                <c:pt idx="2">
                  <c:v>3100</c:v>
                </c:pt>
                <c:pt idx="3">
                  <c:v>895</c:v>
                </c:pt>
                <c:pt idx="4">
                  <c:v>3370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1079936"/>
        <c:axId val="231081472"/>
      </c:barChart>
      <c:catAx>
        <c:axId val="231079936"/>
        <c:scaling>
          <c:orientation val="minMax"/>
        </c:scaling>
        <c:delete val="0"/>
        <c:axPos val="b"/>
        <c:majorTickMark val="out"/>
        <c:minorTickMark val="none"/>
        <c:tickLblPos val="nextTo"/>
        <c:crossAx val="231081472"/>
        <c:crosses val="autoZero"/>
        <c:auto val="1"/>
        <c:lblAlgn val="ctr"/>
        <c:lblOffset val="100"/>
        <c:noMultiLvlLbl val="0"/>
      </c:catAx>
      <c:valAx>
        <c:axId val="231081472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2310799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[Warehouse_Picker_Productivity_Tracker.xlsx]Sheet4!PivotTable1</c:name>
    <c:fmtId val="2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Sheet4!$A$4:$A$9</c:f>
              <c:strCache>
                <c:ptCount val="5"/>
                <c:pt idx="0">
                  <c:v>Amit</c:v>
                </c:pt>
                <c:pt idx="1">
                  <c:v>Himanshu</c:v>
                </c:pt>
                <c:pt idx="2">
                  <c:v>Rahul</c:v>
                </c:pt>
                <c:pt idx="3">
                  <c:v>Rahul </c:v>
                </c:pt>
                <c:pt idx="4">
                  <c:v>Rohit</c:v>
                </c:pt>
              </c:strCache>
            </c:strRef>
          </c:cat>
          <c:val>
            <c:numRef>
              <c:f>Sheet4!$B$4:$B$9</c:f>
              <c:numCache>
                <c:formatCode>0</c:formatCode>
                <c:ptCount val="5"/>
                <c:pt idx="0">
                  <c:v>23.25</c:v>
                </c:pt>
                <c:pt idx="1">
                  <c:v>20.932692307692307</c:v>
                </c:pt>
                <c:pt idx="2">
                  <c:v>19.05</c:v>
                </c:pt>
                <c:pt idx="3">
                  <c:v>18.333333333333332</c:v>
                </c:pt>
                <c:pt idx="4">
                  <c:v>19.785714285714285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1134720"/>
        <c:axId val="231136256"/>
      </c:barChart>
      <c:catAx>
        <c:axId val="231134720"/>
        <c:scaling>
          <c:orientation val="minMax"/>
        </c:scaling>
        <c:delete val="0"/>
        <c:axPos val="b"/>
        <c:majorTickMark val="out"/>
        <c:minorTickMark val="none"/>
        <c:tickLblPos val="nextTo"/>
        <c:crossAx val="231136256"/>
        <c:crosses val="autoZero"/>
        <c:auto val="1"/>
        <c:lblAlgn val="ctr"/>
        <c:lblOffset val="100"/>
        <c:noMultiLvlLbl val="0"/>
      </c:catAx>
      <c:valAx>
        <c:axId val="23113625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311347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[Warehouse_Picker_Productivity_Tracker.xlsx]Sheet6!PivotTable3</c:name>
    <c:fmtId val="3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Average of Performance_Score</c:v>
                </c:pt>
              </c:strCache>
            </c:strRef>
          </c:tx>
          <c:invertIfNegative val="0"/>
          <c:cat>
            <c:strRef>
              <c:f>Sheet6!$A$4:$A$9</c:f>
              <c:strCache>
                <c:ptCount val="5"/>
                <c:pt idx="0">
                  <c:v>Amit</c:v>
                </c:pt>
                <c:pt idx="1">
                  <c:v>Himanshu</c:v>
                </c:pt>
                <c:pt idx="2">
                  <c:v>Rahul</c:v>
                </c:pt>
                <c:pt idx="3">
                  <c:v>Rahul </c:v>
                </c:pt>
                <c:pt idx="4">
                  <c:v>Rohit</c:v>
                </c:pt>
              </c:strCache>
            </c:strRef>
          </c:cat>
          <c:val>
            <c:numRef>
              <c:f>Sheet6!$B$4:$B$9</c:f>
              <c:numCache>
                <c:formatCode>0.0</c:formatCode>
                <c:ptCount val="5"/>
                <c:pt idx="0">
                  <c:v>94.775589048504415</c:v>
                </c:pt>
                <c:pt idx="1">
                  <c:v>88.083748299803545</c:v>
                </c:pt>
                <c:pt idx="2">
                  <c:v>82.624444504416743</c:v>
                </c:pt>
                <c:pt idx="3">
                  <c:v>80.44421115148792</c:v>
                </c:pt>
                <c:pt idx="4">
                  <c:v>84.327848794534376</c:v>
                </c:pt>
              </c:numCache>
            </c:numRef>
          </c:val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Average of Error rate</c:v>
                </c:pt>
              </c:strCache>
            </c:strRef>
          </c:tx>
          <c:invertIfNegative val="0"/>
          <c:cat>
            <c:strRef>
              <c:f>Sheet6!$A$4:$A$9</c:f>
              <c:strCache>
                <c:ptCount val="5"/>
                <c:pt idx="0">
                  <c:v>Amit</c:v>
                </c:pt>
                <c:pt idx="1">
                  <c:v>Himanshu</c:v>
                </c:pt>
                <c:pt idx="2">
                  <c:v>Rahul</c:v>
                </c:pt>
                <c:pt idx="3">
                  <c:v>Rahul </c:v>
                </c:pt>
                <c:pt idx="4">
                  <c:v>Rohit</c:v>
                </c:pt>
              </c:strCache>
            </c:strRef>
          </c:cat>
          <c:val>
            <c:numRef>
              <c:f>Sheet6!$C$4:$C$9</c:f>
              <c:numCache>
                <c:formatCode>0.00</c:formatCode>
                <c:ptCount val="5"/>
                <c:pt idx="0">
                  <c:v>1.0813698383186658</c:v>
                </c:pt>
                <c:pt idx="1">
                  <c:v>1.7593005391164485</c:v>
                </c:pt>
                <c:pt idx="2">
                  <c:v>2.3851849852775033</c:v>
                </c:pt>
                <c:pt idx="3">
                  <c:v>2.963740606151362</c:v>
                </c:pt>
                <c:pt idx="4">
                  <c:v>3.5738373515520707</c:v>
                </c:pt>
              </c:numCache>
            </c:numRef>
          </c:val>
        </c:ser>
        <c:ser>
          <c:idx val="2"/>
          <c:order val="2"/>
          <c:tx>
            <c:strRef>
              <c:f>Sheet6!$D$3</c:f>
              <c:strCache>
                <c:ptCount val="1"/>
                <c:pt idx="0">
                  <c:v>Average of Pick Rate</c:v>
                </c:pt>
              </c:strCache>
            </c:strRef>
          </c:tx>
          <c:invertIfNegative val="0"/>
          <c:cat>
            <c:strRef>
              <c:f>Sheet6!$A$4:$A$9</c:f>
              <c:strCache>
                <c:ptCount val="5"/>
                <c:pt idx="0">
                  <c:v>Amit</c:v>
                </c:pt>
                <c:pt idx="1">
                  <c:v>Himanshu</c:v>
                </c:pt>
                <c:pt idx="2">
                  <c:v>Rahul</c:v>
                </c:pt>
                <c:pt idx="3">
                  <c:v>Rahul </c:v>
                </c:pt>
                <c:pt idx="4">
                  <c:v>Rohit</c:v>
                </c:pt>
              </c:strCache>
            </c:strRef>
          </c:cat>
          <c:val>
            <c:numRef>
              <c:f>Sheet6!$D$4:$D$9</c:f>
              <c:numCache>
                <c:formatCode>0.0</c:formatCode>
                <c:ptCount val="5"/>
                <c:pt idx="0">
                  <c:v>23.25</c:v>
                </c:pt>
                <c:pt idx="1">
                  <c:v>20.932692307692307</c:v>
                </c:pt>
                <c:pt idx="2">
                  <c:v>19.05</c:v>
                </c:pt>
                <c:pt idx="3">
                  <c:v>18.333333333333332</c:v>
                </c:pt>
                <c:pt idx="4">
                  <c:v>19.785714285714285</c:v>
                </c:pt>
              </c:numCache>
            </c:numRef>
          </c:val>
        </c:ser>
        <c:ser>
          <c:idx val="3"/>
          <c:order val="3"/>
          <c:tx>
            <c:strRef>
              <c:f>Sheet6!$E$3</c:f>
              <c:strCache>
                <c:ptCount val="1"/>
                <c:pt idx="0">
                  <c:v>Sum of Incentive</c:v>
                </c:pt>
              </c:strCache>
            </c:strRef>
          </c:tx>
          <c:invertIfNegative val="0"/>
          <c:cat>
            <c:strRef>
              <c:f>Sheet6!$A$4:$A$9</c:f>
              <c:strCache>
                <c:ptCount val="5"/>
                <c:pt idx="0">
                  <c:v>Amit</c:v>
                </c:pt>
                <c:pt idx="1">
                  <c:v>Himanshu</c:v>
                </c:pt>
                <c:pt idx="2">
                  <c:v>Rahul</c:v>
                </c:pt>
                <c:pt idx="3">
                  <c:v>Rahul </c:v>
                </c:pt>
                <c:pt idx="4">
                  <c:v>Rohit</c:v>
                </c:pt>
              </c:strCache>
            </c:strRef>
          </c:cat>
          <c:val>
            <c:numRef>
              <c:f>Sheet6!$E$4:$E$9</c:f>
              <c:numCache>
                <c:formatCode>General</c:formatCode>
                <c:ptCount val="5"/>
                <c:pt idx="0">
                  <c:v>4420</c:v>
                </c:pt>
                <c:pt idx="1">
                  <c:v>4395</c:v>
                </c:pt>
                <c:pt idx="2">
                  <c:v>3100</c:v>
                </c:pt>
                <c:pt idx="3">
                  <c:v>895</c:v>
                </c:pt>
                <c:pt idx="4">
                  <c:v>3370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1263232"/>
        <c:axId val="231269120"/>
      </c:barChart>
      <c:catAx>
        <c:axId val="231263232"/>
        <c:scaling>
          <c:orientation val="minMax"/>
        </c:scaling>
        <c:delete val="0"/>
        <c:axPos val="b"/>
        <c:majorTickMark val="out"/>
        <c:minorTickMark val="none"/>
        <c:tickLblPos val="nextTo"/>
        <c:crossAx val="231269120"/>
        <c:crosses val="autoZero"/>
        <c:auto val="1"/>
        <c:lblAlgn val="ctr"/>
        <c:lblOffset val="100"/>
        <c:noMultiLvlLbl val="0"/>
      </c:catAx>
      <c:valAx>
        <c:axId val="231269120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2312632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[Warehouse_Picker_Productivity_Tracker.xlsx]Sheet5!PivotTable2</c:name>
    <c:fmtId val="2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Sum of Orders</c:v>
                </c:pt>
              </c:strCache>
            </c:strRef>
          </c:tx>
          <c:invertIfNegative val="0"/>
          <c:cat>
            <c:strRef>
              <c:f>Sheet5!$A$4:$A$6</c:f>
              <c:strCache>
                <c:ptCount val="2"/>
                <c:pt idx="0">
                  <c:v>Evening</c:v>
                </c:pt>
                <c:pt idx="1">
                  <c:v>Morning</c:v>
                </c:pt>
              </c:strCache>
            </c:strRef>
          </c:cat>
          <c:val>
            <c:numRef>
              <c:f>Sheet5!$B$4:$B$6</c:f>
              <c:numCache>
                <c:formatCode>General</c:formatCode>
                <c:ptCount val="2"/>
                <c:pt idx="0">
                  <c:v>2016</c:v>
                </c:pt>
                <c:pt idx="1">
                  <c:v>2157</c:v>
                </c:pt>
              </c:numCache>
            </c:numRef>
          </c:val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Items_Picked</c:v>
                </c:pt>
              </c:strCache>
            </c:strRef>
          </c:tx>
          <c:invertIfNegative val="0"/>
          <c:cat>
            <c:strRef>
              <c:f>Sheet5!$A$4:$A$6</c:f>
              <c:strCache>
                <c:ptCount val="2"/>
                <c:pt idx="0">
                  <c:v>Evening</c:v>
                </c:pt>
                <c:pt idx="1">
                  <c:v>Morning</c:v>
                </c:pt>
              </c:strCache>
            </c:strRef>
          </c:cat>
          <c:val>
            <c:numRef>
              <c:f>Sheet5!$C$4:$C$6</c:f>
              <c:numCache>
                <c:formatCode>General</c:formatCode>
                <c:ptCount val="2"/>
                <c:pt idx="0">
                  <c:v>3894</c:v>
                </c:pt>
                <c:pt idx="1">
                  <c:v>4141</c:v>
                </c:pt>
              </c:numCache>
            </c:numRef>
          </c:val>
        </c:ser>
        <c:ser>
          <c:idx val="2"/>
          <c:order val="2"/>
          <c:tx>
            <c:strRef>
              <c:f>Sheet5!$D$3</c:f>
              <c:strCache>
                <c:ptCount val="1"/>
                <c:pt idx="0">
                  <c:v>Sum of Errors</c:v>
                </c:pt>
              </c:strCache>
            </c:strRef>
          </c:tx>
          <c:invertIfNegative val="0"/>
          <c:cat>
            <c:strRef>
              <c:f>Sheet5!$A$4:$A$6</c:f>
              <c:strCache>
                <c:ptCount val="2"/>
                <c:pt idx="0">
                  <c:v>Evening</c:v>
                </c:pt>
                <c:pt idx="1">
                  <c:v>Morning</c:v>
                </c:pt>
              </c:strCache>
            </c:strRef>
          </c:cat>
          <c:val>
            <c:numRef>
              <c:f>Sheet5!$D$4:$D$6</c:f>
              <c:numCache>
                <c:formatCode>General</c:formatCode>
                <c:ptCount val="2"/>
                <c:pt idx="0">
                  <c:v>83</c:v>
                </c:pt>
                <c:pt idx="1">
                  <c:v>87</c:v>
                </c:pt>
              </c:numCache>
            </c:numRef>
          </c:val>
        </c:ser>
        <c:ser>
          <c:idx val="3"/>
          <c:order val="3"/>
          <c:tx>
            <c:strRef>
              <c:f>Sheet5!$E$3</c:f>
              <c:strCache>
                <c:ptCount val="1"/>
                <c:pt idx="0">
                  <c:v>Average of Pick Rate</c:v>
                </c:pt>
              </c:strCache>
            </c:strRef>
          </c:tx>
          <c:invertIfNegative val="0"/>
          <c:cat>
            <c:strRef>
              <c:f>Sheet5!$A$4:$A$6</c:f>
              <c:strCache>
                <c:ptCount val="2"/>
                <c:pt idx="0">
                  <c:v>Evening</c:v>
                </c:pt>
                <c:pt idx="1">
                  <c:v>Morning</c:v>
                </c:pt>
              </c:strCache>
            </c:strRef>
          </c:cat>
          <c:val>
            <c:numRef>
              <c:f>Sheet5!$E$4:$E$6</c:f>
              <c:numCache>
                <c:formatCode>0.00</c:formatCode>
                <c:ptCount val="2"/>
                <c:pt idx="0">
                  <c:v>21.517857142857142</c:v>
                </c:pt>
                <c:pt idx="1">
                  <c:v>19.908653846153847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1887616"/>
        <c:axId val="231889152"/>
      </c:barChart>
      <c:catAx>
        <c:axId val="231887616"/>
        <c:scaling>
          <c:orientation val="minMax"/>
        </c:scaling>
        <c:delete val="0"/>
        <c:axPos val="b"/>
        <c:majorTickMark val="out"/>
        <c:minorTickMark val="none"/>
        <c:tickLblPos val="nextTo"/>
        <c:crossAx val="231889152"/>
        <c:crosses val="autoZero"/>
        <c:auto val="1"/>
        <c:lblAlgn val="ctr"/>
        <c:lblOffset val="100"/>
        <c:noMultiLvlLbl val="0"/>
      </c:catAx>
      <c:valAx>
        <c:axId val="231889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18876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166687</xdr:colOff>
      <xdr:row>1</xdr:row>
      <xdr:rowOff>133350</xdr:rowOff>
    </xdr:from>
    <xdr:to>
      <xdr:col>10</xdr:col>
      <xdr:colOff>152400</xdr:colOff>
      <xdr:row>14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61912</xdr:colOff>
      <xdr:row>8</xdr:row>
      <xdr:rowOff>28575</xdr:rowOff>
    </xdr:from>
    <xdr:to>
      <xdr:col>4</xdr:col>
      <xdr:colOff>1066800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33336</xdr:colOff>
      <xdr:row>10</xdr:row>
      <xdr:rowOff>123825</xdr:rowOff>
    </xdr:from>
    <xdr:to>
      <xdr:col>3</xdr:col>
      <xdr:colOff>981075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8</xdr:row>
      <xdr:rowOff>9525</xdr:rowOff>
    </xdr:from>
    <xdr:to>
      <xdr:col>4</xdr:col>
      <xdr:colOff>95250</xdr:colOff>
      <xdr:row>19</xdr:row>
      <xdr:rowOff>19050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8</xdr:row>
      <xdr:rowOff>0</xdr:rowOff>
    </xdr:from>
    <xdr:to>
      <xdr:col>8</xdr:col>
      <xdr:colOff>228600</xdr:colOff>
      <xdr:row>20</xdr:row>
      <xdr:rowOff>9525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171450</xdr:colOff>
      <xdr:row>8</xdr:row>
      <xdr:rowOff>9525</xdr:rowOff>
    </xdr:from>
    <xdr:to>
      <xdr:col>12</xdr:col>
      <xdr:colOff>409575</xdr:colOff>
      <xdr:row>18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HAHAT" refreshedDate="46242.557146064813" createdVersion="4" refreshedVersion="4" minRefreshableVersion="3" recordCount="50">
  <cacheSource type="worksheet">
    <worksheetSource name="tbl_PickerData"/>
  </cacheSource>
  <cacheFields count="15">
    <cacheField name="Date" numFmtId="15">
      <sharedItems containsSemiMixedTypes="0" containsNonDate="0" containsDate="1" containsString="0" minDate="2026-08-01T00:00:00" maxDate="2026-08-14T00:00:00"/>
    </cacheField>
    <cacheField name="Picker_ID" numFmtId="0">
      <sharedItems/>
    </cacheField>
    <cacheField name="Picker_Name" numFmtId="0">
      <sharedItems count="5">
        <s v="Himanshu"/>
        <s v="Rahul "/>
        <s v="Amit"/>
        <s v="Rohit"/>
        <s v="Rahul"/>
      </sharedItems>
    </cacheField>
    <cacheField name="Shift" numFmtId="0">
      <sharedItems count="2">
        <s v="Morning"/>
        <s v="Evening"/>
      </sharedItems>
    </cacheField>
    <cacheField name="Orders" numFmtId="0">
      <sharedItems containsSemiMixedTypes="0" containsString="0" containsNumber="1" containsInteger="1" minValue="68" maxValue="100"/>
    </cacheField>
    <cacheField name="Items_Picked" numFmtId="0">
      <sharedItems containsSemiMixedTypes="0" containsString="0" containsNumber="1" containsInteger="1" minValue="129" maxValue="195"/>
    </cacheField>
    <cacheField name="Working_Hours" numFmtId="0">
      <sharedItems containsSemiMixedTypes="0" containsString="0" containsNumber="1" containsInteger="1" minValue="7" maxValue="8"/>
    </cacheField>
    <cacheField name="Errors" numFmtId="0">
      <sharedItems containsSemiMixedTypes="0" containsString="0" containsNumber="1" containsInteger="1" minValue="1" maxValue="6"/>
    </cacheField>
    <cacheField name="Incentive" numFmtId="0">
      <sharedItems containsSemiMixedTypes="0" containsString="0" containsNumber="1" containsInteger="1" minValue="265" maxValue="385"/>
    </cacheField>
    <cacheField name="Pick Rate" numFmtId="164">
      <sharedItems containsSemiMixedTypes="0" containsString="0" containsNumber="1" minValue="17.75" maxValue="24.375"/>
    </cacheField>
    <cacheField name="Error rate" numFmtId="2">
      <sharedItems containsSemiMixedTypes="0" containsString="0" containsNumber="1" minValue="0.51282051282051289" maxValue="4.6511627906976747"/>
    </cacheField>
    <cacheField name="Incentive_Per_Hour" numFmtId="164">
      <sharedItems containsSemiMixedTypes="0" containsString="0" containsNumber="1" minValue="36.25" maxValue="48.125"/>
    </cacheField>
    <cacheField name="Performance_Status" numFmtId="0">
      <sharedItems/>
    </cacheField>
    <cacheField name="Performance_Score" numFmtId="2">
      <sharedItems containsSemiMixedTypes="0" containsString="0" containsNumber="1" minValue="78.64366197183098" maxValue="98.09615384615384"/>
    </cacheField>
    <cacheField name="Performance_Rat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d v="2026-08-01T00:00:00"/>
    <s v="P001"/>
    <x v="0"/>
    <x v="0"/>
    <n v="82"/>
    <n v="156"/>
    <n v="8"/>
    <n v="3"/>
    <n v="320"/>
    <n v="19.5"/>
    <n v="1.9230769230769229"/>
    <n v="40"/>
    <s v="Average"/>
    <n v="84.023076923076928"/>
    <s v="Good"/>
  </r>
  <r>
    <d v="2026-08-01T00:00:00"/>
    <s v="P002"/>
    <x v="1"/>
    <x v="0"/>
    <n v="74"/>
    <n v="142"/>
    <n v="8"/>
    <n v="5"/>
    <n v="290"/>
    <n v="17.75"/>
    <n v="3.5211267605633805"/>
    <n v="36.25"/>
    <s v="Average"/>
    <n v="78.64366197183098"/>
    <s v="Good"/>
  </r>
  <r>
    <d v="2026-08-01T00:00:00"/>
    <s v="P003"/>
    <x v="2"/>
    <x v="1"/>
    <n v="91"/>
    <n v="178"/>
    <n v="8"/>
    <n v="2"/>
    <n v="350"/>
    <n v="22.25"/>
    <n v="1.1235955056179776"/>
    <n v="43.75"/>
    <s v="High"/>
    <n v="91.962921348314609"/>
    <s v="Excellent"/>
  </r>
  <r>
    <d v="2026-08-01T00:00:00"/>
    <s v="P004"/>
    <x v="3"/>
    <x v="1"/>
    <n v="68"/>
    <n v="129"/>
    <n v="7"/>
    <n v="6"/>
    <n v="265"/>
    <n v="18.428571428571427"/>
    <n v="4.6511627906976747"/>
    <n v="37.857142857142854"/>
    <s v="Average"/>
    <n v="80.204651162790697"/>
    <s v="Good"/>
  </r>
  <r>
    <d v="2026-08-02T00:00:00"/>
    <s v="P001"/>
    <x v="0"/>
    <x v="0"/>
    <n v="88"/>
    <n v="169"/>
    <n v="8"/>
    <n v="2"/>
    <n v="340"/>
    <n v="21.125"/>
    <n v="1.1834319526627219"/>
    <n v="42.5"/>
    <s v="High"/>
    <n v="88.794970414201188"/>
    <s v="Excellent"/>
  </r>
  <r>
    <d v="2026-08-02T00:00:00"/>
    <s v="P002"/>
    <x v="1"/>
    <x v="0"/>
    <n v="79"/>
    <n v="151"/>
    <n v="8"/>
    <n v="4"/>
    <n v="305"/>
    <n v="18.875"/>
    <n v="2.6490066225165565"/>
    <n v="38.125"/>
    <s v="Average"/>
    <n v="82.055298013245036"/>
    <s v="Good"/>
  </r>
  <r>
    <d v="2026-08-02T00:00:00"/>
    <s v="P003"/>
    <x v="2"/>
    <x v="1"/>
    <n v="96"/>
    <n v="187"/>
    <n v="8"/>
    <n v="3"/>
    <n v="365"/>
    <n v="23.375"/>
    <n v="1.6042780748663101"/>
    <n v="45.625"/>
    <s v="High"/>
    <n v="94.968716577540107"/>
    <s v="Excellent"/>
  </r>
  <r>
    <d v="2026-08-02T00:00:00"/>
    <s v="P004"/>
    <x v="3"/>
    <x v="1"/>
    <n v="72"/>
    <n v="138"/>
    <n v="7"/>
    <n v="5"/>
    <n v="280"/>
    <n v="19.714285714285715"/>
    <n v="3.6231884057971016"/>
    <n v="40"/>
    <s v="Average"/>
    <n v="84.113043478260863"/>
    <s v="Good"/>
  </r>
  <r>
    <d v="2026-08-03T00:00:00"/>
    <s v="P001"/>
    <x v="0"/>
    <x v="0"/>
    <n v="85"/>
    <n v="163"/>
    <n v="8"/>
    <n v="6"/>
    <n v="330"/>
    <n v="20.375"/>
    <n v="3.6809815950920246"/>
    <n v="41.25"/>
    <s v="High"/>
    <n v="85.945705521472391"/>
    <s v="Excellent"/>
  </r>
  <r>
    <d v="2026-08-03T00:00:00"/>
    <s v="P002"/>
    <x v="1"/>
    <x v="0"/>
    <n v="76"/>
    <n v="147"/>
    <n v="8"/>
    <n v="4"/>
    <n v="300"/>
    <n v="18.375"/>
    <n v="2.7210884353741496"/>
    <n v="37.5"/>
    <s v="Average"/>
    <n v="80.633673469387759"/>
    <s v="Good"/>
  </r>
  <r>
    <d v="2026-08-04T00:00:00"/>
    <s v="P001"/>
    <x v="0"/>
    <x v="0"/>
    <n v="84"/>
    <n v="161"/>
    <n v="8"/>
    <n v="3"/>
    <n v="325"/>
    <n v="20.125"/>
    <n v="1.8633540372670807"/>
    <n v="40.625"/>
    <s v="High"/>
    <n v="85.790993788819875"/>
    <s v="Excellent"/>
  </r>
  <r>
    <d v="2026-08-04T00:00:00"/>
    <s v="P002"/>
    <x v="4"/>
    <x v="0"/>
    <n v="77"/>
    <n v="148"/>
    <n v="8"/>
    <n v="4"/>
    <n v="305"/>
    <n v="18.5"/>
    <n v="2.7027027027027026"/>
    <n v="38.125"/>
    <s v="Average"/>
    <n v="80.98918918918919"/>
    <s v="Good"/>
  </r>
  <r>
    <d v="2026-08-04T00:00:00"/>
    <s v="P003"/>
    <x v="2"/>
    <x v="1"/>
    <n v="94"/>
    <n v="182"/>
    <n v="8"/>
    <n v="2"/>
    <n v="360"/>
    <n v="22.75"/>
    <n v="1.0989010989010988"/>
    <n v="45"/>
    <s v="High"/>
    <n v="93.370329670329681"/>
    <s v="Excellent"/>
  </r>
  <r>
    <d v="2026-08-04T00:00:00"/>
    <s v="P004"/>
    <x v="3"/>
    <x v="1"/>
    <n v="70"/>
    <n v="134"/>
    <n v="7"/>
    <n v="5"/>
    <n v="275"/>
    <n v="19.142857142857142"/>
    <n v="3.7313432835820892"/>
    <n v="39.285714285714285"/>
    <s v="Average"/>
    <n v="82.480597014925365"/>
    <s v="Good"/>
  </r>
  <r>
    <d v="2026-08-05T00:00:00"/>
    <s v="P001"/>
    <x v="0"/>
    <x v="0"/>
    <n v="89"/>
    <n v="171"/>
    <n v="8"/>
    <n v="2"/>
    <n v="345"/>
    <n v="21.375"/>
    <n v="1.1695906432748537"/>
    <n v="43.125"/>
    <s v="High"/>
    <n v="89.499122807017542"/>
    <s v="Excellent"/>
  </r>
  <r>
    <d v="2026-08-05T00:00:00"/>
    <s v="P002"/>
    <x v="4"/>
    <x v="0"/>
    <n v="81"/>
    <n v="155"/>
    <n v="8"/>
    <n v="3"/>
    <n v="315"/>
    <n v="19.375"/>
    <n v="1.9354838709677418"/>
    <n v="39.375"/>
    <s v="Average"/>
    <n v="83.66935483870968"/>
    <s v="Good"/>
  </r>
  <r>
    <d v="2026-08-05T00:00:00"/>
    <s v="P003"/>
    <x v="2"/>
    <x v="1"/>
    <n v="98"/>
    <n v="191"/>
    <n v="8"/>
    <n v="2"/>
    <n v="375"/>
    <n v="23.875"/>
    <n v="1.0471204188481675"/>
    <n v="46.875"/>
    <s v="High"/>
    <n v="96.535863874345551"/>
    <s v="Excellent"/>
  </r>
  <r>
    <d v="2026-08-05T00:00:00"/>
    <s v="P004"/>
    <x v="3"/>
    <x v="1"/>
    <n v="73"/>
    <n v="140"/>
    <n v="7"/>
    <n v="4"/>
    <n v="285"/>
    <n v="20"/>
    <n v="2.8571428571428572"/>
    <n v="40.714285714285715"/>
    <s v="High"/>
    <n v="85.142857142857139"/>
    <s v="Excellent"/>
  </r>
  <r>
    <d v="2026-08-06T00:00:00"/>
    <s v="P001"/>
    <x v="0"/>
    <x v="0"/>
    <n v="86"/>
    <n v="165"/>
    <n v="8"/>
    <n v="4"/>
    <n v="335"/>
    <n v="20.625"/>
    <n v="2.4242424242424243"/>
    <n v="41.875"/>
    <s v="High"/>
    <n v="87.022727272727266"/>
    <s v="Excellent"/>
  </r>
  <r>
    <d v="2026-08-06T00:00:00"/>
    <s v="P002"/>
    <x v="4"/>
    <x v="0"/>
    <n v="75"/>
    <n v="144"/>
    <n v="8"/>
    <n v="5"/>
    <n v="295"/>
    <n v="18"/>
    <n v="3.4722222222222223"/>
    <n v="36.875"/>
    <s v="Average"/>
    <n v="79.358333333333334"/>
    <s v="Good"/>
  </r>
  <r>
    <d v="2026-08-06T00:00:00"/>
    <s v="P003"/>
    <x v="2"/>
    <x v="1"/>
    <n v="92"/>
    <n v="179"/>
    <n v="8"/>
    <n v="3"/>
    <n v="355"/>
    <n v="22.375"/>
    <n v="1.6759776536312849"/>
    <n v="44.375"/>
    <s v="High"/>
    <n v="92.147206703910612"/>
    <s v="Excellent"/>
  </r>
  <r>
    <d v="2026-08-06T00:00:00"/>
    <s v="P004"/>
    <x v="3"/>
    <x v="1"/>
    <n v="69"/>
    <n v="132"/>
    <n v="7"/>
    <n v="6"/>
    <n v="270"/>
    <n v="18.857142857142858"/>
    <n v="4.545454545454545"/>
    <n v="38.571428571428569"/>
    <s v="Average"/>
    <n v="81.436363636363637"/>
    <s v="Good"/>
  </r>
  <r>
    <d v="2026-08-07T00:00:00"/>
    <s v="P001"/>
    <x v="0"/>
    <x v="0"/>
    <n v="91"/>
    <n v="175"/>
    <n v="8"/>
    <n v="2"/>
    <n v="350"/>
    <n v="21.875"/>
    <n v="1.1428571428571428"/>
    <n v="43.75"/>
    <s v="High"/>
    <n v="90.907142857142858"/>
    <s v="Excellent"/>
  </r>
  <r>
    <d v="2026-08-07T00:00:00"/>
    <s v="P002"/>
    <x v="4"/>
    <x v="0"/>
    <n v="83"/>
    <n v="159"/>
    <n v="8"/>
    <n v="3"/>
    <n v="320"/>
    <n v="19.875"/>
    <n v="1.8867924528301885"/>
    <n v="40"/>
    <s v="Average"/>
    <n v="85.083962264150955"/>
    <s v="Excellent"/>
  </r>
  <r>
    <d v="2026-08-07T00:00:00"/>
    <s v="P003"/>
    <x v="2"/>
    <x v="1"/>
    <n v="96"/>
    <n v="185"/>
    <n v="8"/>
    <n v="2"/>
    <n v="370"/>
    <n v="23.125"/>
    <n v="1.0810810810810809"/>
    <n v="46.25"/>
    <s v="High"/>
    <n v="94.425675675675677"/>
    <s v="Excellent"/>
  </r>
  <r>
    <d v="2026-08-07T00:00:00"/>
    <s v="P004"/>
    <x v="3"/>
    <x v="1"/>
    <n v="76"/>
    <n v="146"/>
    <n v="7"/>
    <n v="4"/>
    <n v="290"/>
    <n v="20.857142857142858"/>
    <n v="2.7397260273972601"/>
    <n v="41.428571428571431"/>
    <s v="High"/>
    <n v="87.578082191780823"/>
    <s v="Excellent"/>
  </r>
  <r>
    <d v="2026-08-08T00:00:00"/>
    <s v="P001"/>
    <x v="0"/>
    <x v="0"/>
    <n v="87"/>
    <n v="168"/>
    <n v="8"/>
    <n v="3"/>
    <n v="340"/>
    <n v="21"/>
    <n v="1.7857142857142858"/>
    <n v="42.5"/>
    <s v="High"/>
    <n v="88.264285714285705"/>
    <s v="Excellent"/>
  </r>
  <r>
    <d v="2026-08-08T00:00:00"/>
    <s v="P002"/>
    <x v="4"/>
    <x v="0"/>
    <n v="79"/>
    <n v="152"/>
    <n v="8"/>
    <n v="4"/>
    <n v="310"/>
    <n v="19"/>
    <n v="2.6315789473684212"/>
    <n v="38.75"/>
    <s v="Average"/>
    <n v="82.410526315789483"/>
    <s v="Good"/>
  </r>
  <r>
    <d v="2026-08-08T00:00:00"/>
    <s v="P003"/>
    <x v="2"/>
    <x v="1"/>
    <n v="99"/>
    <n v="193"/>
    <n v="8"/>
    <n v="1"/>
    <n v="380"/>
    <n v="24.125"/>
    <n v="0.5181347150259068"/>
    <n v="47.5"/>
    <s v="High"/>
    <n v="97.394559585492232"/>
    <s v="Excellent"/>
  </r>
  <r>
    <d v="2026-08-08T00:00:00"/>
    <s v="P004"/>
    <x v="3"/>
    <x v="1"/>
    <n v="71"/>
    <n v="136"/>
    <n v="7"/>
    <n v="5"/>
    <n v="280"/>
    <n v="19.428571428571427"/>
    <n v="3.6764705882352939"/>
    <n v="40"/>
    <s v="Average"/>
    <n v="83.297058823529412"/>
    <s v="Good"/>
  </r>
  <r>
    <d v="2026-08-09T00:00:00"/>
    <s v="P001"/>
    <x v="0"/>
    <x v="0"/>
    <n v="85"/>
    <n v="164"/>
    <n v="8"/>
    <n v="3"/>
    <n v="330"/>
    <n v="20.5"/>
    <n v="1.8292682926829269"/>
    <n v="41.25"/>
    <s v="High"/>
    <n v="86.851219512195115"/>
    <s v="Excellent"/>
  </r>
  <r>
    <d v="2026-08-09T00:00:00"/>
    <s v="P002"/>
    <x v="4"/>
    <x v="0"/>
    <n v="80"/>
    <n v="153"/>
    <n v="8"/>
    <n v="3"/>
    <n v="315"/>
    <n v="19.125"/>
    <n v="1.9607843137254901"/>
    <n v="39.375"/>
    <s v="Average"/>
    <n v="82.961764705882359"/>
    <s v="Good"/>
  </r>
  <r>
    <d v="2026-08-09T00:00:00"/>
    <s v="P003"/>
    <x v="2"/>
    <x v="1"/>
    <n v="95"/>
    <n v="184"/>
    <n v="8"/>
    <n v="2"/>
    <n v="365"/>
    <n v="23"/>
    <n v="1.0869565217391304"/>
    <n v="45.625"/>
    <s v="High"/>
    <n v="94.073913043478257"/>
    <s v="Excellent"/>
  </r>
  <r>
    <d v="2026-08-09T00:00:00"/>
    <s v="P004"/>
    <x v="3"/>
    <x v="1"/>
    <n v="74"/>
    <n v="142"/>
    <n v="7"/>
    <n v="5"/>
    <n v="285"/>
    <n v="20.285714285714285"/>
    <n v="3.5211267605633805"/>
    <n v="40.714285714285715"/>
    <s v="High"/>
    <n v="85.743661971830988"/>
    <s v="Excellent"/>
  </r>
  <r>
    <d v="2026-08-10T00:00:00"/>
    <s v="P001"/>
    <x v="0"/>
    <x v="0"/>
    <n v="90"/>
    <n v="173"/>
    <n v="8"/>
    <n v="2"/>
    <n v="350"/>
    <n v="21.625"/>
    <n v="1.1560693641618498"/>
    <n v="43.75"/>
    <s v="High"/>
    <n v="90.203179190751442"/>
    <s v="Excellent"/>
  </r>
  <r>
    <d v="2026-08-10T00:00:00"/>
    <s v="P002"/>
    <x v="4"/>
    <x v="0"/>
    <n v="78"/>
    <n v="149"/>
    <n v="8"/>
    <n v="4"/>
    <n v="300"/>
    <n v="18.625"/>
    <n v="2.6845637583892619"/>
    <n v="37.5"/>
    <s v="Average"/>
    <n v="81.344630872483222"/>
    <s v="Good"/>
  </r>
  <r>
    <d v="2026-08-10T00:00:00"/>
    <s v="P003"/>
    <x v="2"/>
    <x v="1"/>
    <n v="97"/>
    <n v="188"/>
    <n v="8"/>
    <n v="2"/>
    <n v="375"/>
    <n v="23.5"/>
    <n v="1.0638297872340425"/>
    <n v="46.875"/>
    <s v="High"/>
    <n v="95.480851063829789"/>
    <s v="Excellent"/>
  </r>
  <r>
    <d v="2026-08-10T00:00:00"/>
    <s v="P004"/>
    <x v="3"/>
    <x v="1"/>
    <n v="72"/>
    <n v="139"/>
    <n v="7"/>
    <n v="5"/>
    <n v="280"/>
    <n v="19.857142857142858"/>
    <n v="3.5971223021582737"/>
    <n v="40"/>
    <s v="Average"/>
    <n v="84.520863309352521"/>
    <s v="Good"/>
  </r>
  <r>
    <d v="2026-08-11T00:00:00"/>
    <s v="P001"/>
    <x v="0"/>
    <x v="0"/>
    <n v="88"/>
    <n v="169"/>
    <n v="8"/>
    <n v="3"/>
    <n v="340"/>
    <n v="21.125"/>
    <n v="1.7751479289940828"/>
    <n v="42.5"/>
    <s v="High"/>
    <n v="88.617455621301772"/>
    <s v="Excellent"/>
  </r>
  <r>
    <d v="2026-08-11T00:00:00"/>
    <s v="P002"/>
    <x v="4"/>
    <x v="0"/>
    <n v="82"/>
    <n v="157"/>
    <n v="8"/>
    <n v="3"/>
    <n v="320"/>
    <n v="19.625"/>
    <n v="1.910828025477707"/>
    <n v="40"/>
    <s v="Average"/>
    <n v="84.376751592356698"/>
    <s v="Good"/>
  </r>
  <r>
    <d v="2026-08-11T00:00:00"/>
    <s v="P003"/>
    <x v="2"/>
    <x v="1"/>
    <n v="93"/>
    <n v="180"/>
    <n v="8"/>
    <n v="2"/>
    <n v="360"/>
    <n v="22.5"/>
    <n v="1.1111111111111112"/>
    <n v="45"/>
    <s v="High"/>
    <n v="92.666666666666671"/>
    <s v="Excellent"/>
  </r>
  <r>
    <d v="2026-08-11T00:00:00"/>
    <s v="P004"/>
    <x v="3"/>
    <x v="1"/>
    <n v="77"/>
    <n v="147"/>
    <n v="7"/>
    <n v="4"/>
    <n v="295"/>
    <n v="21"/>
    <n v="2.7210884353741496"/>
    <n v="42.142857142857146"/>
    <s v="High"/>
    <n v="87.983673469387753"/>
    <s v="Excellent"/>
  </r>
  <r>
    <d v="2026-08-12T00:00:00"/>
    <s v="P001"/>
    <x v="0"/>
    <x v="0"/>
    <n v="92"/>
    <n v="177"/>
    <n v="8"/>
    <n v="2"/>
    <n v="355"/>
    <n v="22.125"/>
    <n v="1.1299435028248588"/>
    <n v="44.375"/>
    <s v="High"/>
    <n v="91.611016949152543"/>
    <s v="Excellent"/>
  </r>
  <r>
    <d v="2026-08-12T00:00:00"/>
    <s v="P002"/>
    <x v="4"/>
    <x v="0"/>
    <n v="76"/>
    <n v="146"/>
    <n v="8"/>
    <n v="5"/>
    <n v="295"/>
    <n v="18.25"/>
    <n v="3.4246575342465753"/>
    <n v="36.875"/>
    <s v="Average"/>
    <n v="80.072602739726022"/>
    <s v="Good"/>
  </r>
  <r>
    <d v="2026-08-12T00:00:00"/>
    <s v="P003"/>
    <x v="2"/>
    <x v="1"/>
    <n v="100"/>
    <n v="195"/>
    <n v="8"/>
    <n v="1"/>
    <n v="385"/>
    <n v="24.375"/>
    <n v="0.51282051282051289"/>
    <n v="48.125"/>
    <s v="High"/>
    <n v="98.09615384615384"/>
    <s v="Excellent"/>
  </r>
  <r>
    <d v="2026-08-12T00:00:00"/>
    <s v="P004"/>
    <x v="3"/>
    <x v="1"/>
    <n v="70"/>
    <n v="135"/>
    <n v="7"/>
    <n v="6"/>
    <n v="275"/>
    <n v="19.285714285714285"/>
    <n v="4.4444444444444438"/>
    <n v="39.285714285714285"/>
    <s v="Average"/>
    <n v="82.666666666666657"/>
    <s v="Good"/>
  </r>
  <r>
    <d v="2026-08-13T00:00:00"/>
    <s v="P001"/>
    <x v="0"/>
    <x v="0"/>
    <n v="86"/>
    <n v="166"/>
    <n v="8"/>
    <n v="3"/>
    <n v="335"/>
    <n v="20.75"/>
    <n v="1.8072289156626506"/>
    <n v="41.875"/>
    <s v="High"/>
    <n v="87.557831325301194"/>
    <s v="Excellent"/>
  </r>
  <r>
    <d v="2026-08-13T00:00:00"/>
    <s v="P002"/>
    <x v="4"/>
    <x v="0"/>
    <n v="84"/>
    <n v="161"/>
    <n v="8"/>
    <n v="2"/>
    <n v="325"/>
    <n v="20.125"/>
    <n v="1.2422360248447204"/>
    <n v="40.625"/>
    <s v="High"/>
    <n v="85.977329192546591"/>
    <s v="Excellent"/>
  </r>
  <r>
    <d v="2026-08-13T00:00:00"/>
    <s v="P003"/>
    <x v="2"/>
    <x v="1"/>
    <n v="98"/>
    <n v="190"/>
    <n v="8"/>
    <n v="2"/>
    <n v="380"/>
    <n v="23.75"/>
    <n v="1.0526315789473684"/>
    <n v="47.5"/>
    <s v="High"/>
    <n v="96.18421052631578"/>
    <s v="Excellent"/>
  </r>
  <r>
    <d v="2026-08-13T00:00:00"/>
    <s v="P004"/>
    <x v="3"/>
    <x v="1"/>
    <n v="75"/>
    <n v="144"/>
    <n v="7"/>
    <n v="4"/>
    <n v="290"/>
    <n v="20.571428571428573"/>
    <n v="2.7777777777777777"/>
    <n v="41.428571428571431"/>
    <s v="High"/>
    <n v="86.76666666666668"/>
    <s v="Excelle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9" firstHeaderRow="1" firstDataRow="1" firstDataCol="1"/>
  <pivotFields count="15">
    <pivotField numFmtId="15" showAll="0"/>
    <pivotField showAll="0"/>
    <pivotField axis="axisRow" showAll="0">
      <items count="6">
        <item x="2"/>
        <item x="0"/>
        <item x="4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4" showAll="0"/>
    <pivotField numFmtId="2" showAll="0"/>
    <pivotField numFmtId="164" showAll="0"/>
    <pivotField showAll="0"/>
    <pivotField numFmtId="2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ick Rate" fld="9" subtotal="average" baseField="2" baseItem="1"/>
  </dataFields>
  <formats count="5">
    <format dxfId="44">
      <pivotArea collapsedLevelsAreSubtotals="1" fieldPosition="0">
        <references count="1">
          <reference field="2" count="0"/>
        </references>
      </pivotArea>
    </format>
    <format dxfId="37">
      <pivotArea type="all" dataOnly="0" outline="0" fieldPosition="0"/>
    </format>
    <format dxfId="36">
      <pivotArea type="all" dataOnly="0" outline="0" fieldPosition="0"/>
    </format>
    <format dxfId="35">
      <pivotArea type="all" dataOnly="0" outline="0" fieldPosition="0"/>
    </format>
    <format dxfId="28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E6" firstHeaderRow="0" firstDataRow="1" firstDataCol="1"/>
  <pivotFields count="15">
    <pivotField numFmtId="15"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dataField="1" showAll="0"/>
    <pivotField showAll="0"/>
    <pivotField dataField="1" showAll="0"/>
    <pivotField showAll="0"/>
    <pivotField dataField="1" numFmtId="164" showAll="0"/>
    <pivotField numFmtId="2" showAll="0"/>
    <pivotField numFmtId="164" showAll="0"/>
    <pivotField showAll="0"/>
    <pivotField numFmtId="2"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Orders" fld="4" baseField="0" baseItem="0"/>
    <dataField name="Sum of Items_Picked" fld="5" baseField="0" baseItem="0"/>
    <dataField name="Sum of Errors" fld="7" baseField="0" baseItem="0"/>
    <dataField name="Average of Pick Rate" fld="9" subtotal="average" baseField="3" baseItem="0"/>
  </dataFields>
  <formats count="5">
    <format dxfId="26">
      <pivotArea type="all" dataOnly="0" outline="0" fieldPosition="0"/>
    </format>
    <format dxfId="25">
      <pivotArea type="all" dataOnly="0" outline="0" fieldPosition="0"/>
    </format>
    <format dxfId="13">
      <pivotArea collapsedLevelsAreSubtotals="1" fieldPosition="0">
        <references count="2">
          <reference field="4294967294" count="1" selected="0">
            <x v="3"/>
          </reference>
          <reference field="3" count="1">
            <x v="0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3"/>
          </reference>
          <reference field="3" count="1">
            <x v="1"/>
          </reference>
        </references>
      </pivotArea>
    </format>
    <format dxfId="1">
      <pivotArea field="3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3:E9" firstHeaderRow="0" firstDataRow="1" firstDataCol="1"/>
  <pivotFields count="15">
    <pivotField numFmtId="15" showAll="0"/>
    <pivotField showAll="0"/>
    <pivotField axis="axisRow" showAll="0">
      <items count="6">
        <item x="2"/>
        <item x="0"/>
        <item x="4"/>
        <item x="1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numFmtId="164" showAll="0"/>
    <pivotField dataField="1" numFmtId="2" showAll="0"/>
    <pivotField numFmtId="164" showAll="0"/>
    <pivotField showAll="0"/>
    <pivotField dataField="1" numFmtId="2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Performance_Score" fld="13" subtotal="average" baseField="2" baseItem="0" numFmtId="164"/>
    <dataField name="Average of Error rate" fld="10" subtotal="average" baseField="2" baseItem="0" numFmtId="2"/>
    <dataField name="Average of Pick Rate" fld="9" subtotal="average" baseField="2" baseItem="0" numFmtId="164"/>
    <dataField name="Sum of Incentive" fld="8" baseField="0" baseItem="0"/>
  </dataFields>
  <formats count="6">
    <format dxfId="4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4">
      <pivotArea type="all" dataOnly="0" outline="0" fieldPosition="0"/>
    </format>
    <format dxfId="23">
      <pivotArea type="all" dataOnly="0" outline="0" fieldPosition="0"/>
    </format>
    <format dxfId="22">
      <pivotArea type="all" dataOnly="0" outline="0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bl_PickerData" displayName="tbl_PickerData" ref="A1:O51" totalsRowShown="0" headerRowDxfId="64" dataDxfId="62" headerRowBorderDxfId="63" tableBorderDxfId="61" totalsRowBorderDxfId="60">
  <autoFilter ref="A1:O51"/>
  <tableColumns count="15">
    <tableColumn id="1" name="Date" dataDxfId="59"/>
    <tableColumn id="2" name="Picker_ID" dataDxfId="58"/>
    <tableColumn id="3" name="Picker_Name" dataDxfId="57"/>
    <tableColumn id="4" name="Shift" dataDxfId="56"/>
    <tableColumn id="5" name="Orders" dataDxfId="55"/>
    <tableColumn id="6" name="Items_Picked" dataDxfId="54"/>
    <tableColumn id="7" name="Working_Hours" dataDxfId="53"/>
    <tableColumn id="8" name="Errors" dataDxfId="52"/>
    <tableColumn id="9" name="Incentive" dataDxfId="51"/>
    <tableColumn id="10" name="Pick Rate" dataDxfId="50">
      <calculatedColumnFormula>F2/G2</calculatedColumnFormula>
    </tableColumn>
    <tableColumn id="11" name="Error rate" dataDxfId="49">
      <calculatedColumnFormula>H2/F2%</calculatedColumnFormula>
    </tableColumn>
    <tableColumn id="12" name="Incentive_Per_Hour" dataDxfId="48">
      <calculatedColumnFormula>I2/G2</calculatedColumnFormula>
    </tableColumn>
    <tableColumn id="13" name="Performance_Status" dataDxfId="47">
      <calculatedColumnFormula>IF(J2&gt;=20,"High",IF(J2&gt;=15,"Average","Low"))</calculatedColumnFormula>
    </tableColumn>
    <tableColumn id="14" name="Performance_Score" dataDxfId="46">
      <calculatedColumnFormula>(J2/25)*70+(1-K2/100)*30</calculatedColumnFormula>
    </tableColumn>
    <tableColumn id="15" name="Performance_Rating" dataDxfId="45">
      <calculatedColumnFormula>IF(N2&gt;=85,"Excellent",IF(N2&gt;=70,"Good",IF(N2&gt;=55,"Average","Needs Improvement")))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topLeftCell="A32" zoomScale="85" zoomScaleNormal="85" workbookViewId="0">
      <selection activeCell="I46" sqref="I46"/>
    </sheetView>
  </sheetViews>
  <sheetFormatPr defaultRowHeight="15" x14ac:dyDescent="0.25"/>
  <cols>
    <col min="1" max="1" width="9.85546875" bestFit="1" customWidth="1"/>
    <col min="2" max="2" width="13.85546875" bestFit="1" customWidth="1"/>
    <col min="3" max="3" width="16.140625" customWidth="1"/>
    <col min="4" max="4" width="9.7109375" bestFit="1" customWidth="1"/>
    <col min="5" max="5" width="11.5703125" bestFit="1" customWidth="1"/>
    <col min="6" max="6" width="17.42578125" bestFit="1" customWidth="1"/>
    <col min="7" max="7" width="19.42578125" bestFit="1" customWidth="1"/>
    <col min="8" max="8" width="10.5703125" customWidth="1"/>
    <col min="9" max="9" width="13.85546875" bestFit="1" customWidth="1"/>
    <col min="10" max="10" width="13.5703125" bestFit="1" customWidth="1"/>
    <col min="11" max="11" width="13.85546875" bestFit="1" customWidth="1"/>
    <col min="12" max="12" width="23.42578125" bestFit="1" customWidth="1"/>
    <col min="13" max="13" width="23.7109375" bestFit="1" customWidth="1"/>
    <col min="14" max="14" width="23.140625" bestFit="1" customWidth="1"/>
    <col min="15" max="15" width="23.85546875" bestFit="1" customWidth="1"/>
  </cols>
  <sheetData>
    <row r="1" spans="1:1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8</v>
      </c>
      <c r="G1" s="6" t="s">
        <v>5</v>
      </c>
      <c r="H1" s="6" t="s">
        <v>6</v>
      </c>
      <c r="I1" s="7" t="s">
        <v>7</v>
      </c>
      <c r="J1" s="6" t="s">
        <v>19</v>
      </c>
      <c r="K1" s="6" t="s">
        <v>20</v>
      </c>
      <c r="L1" s="1" t="s">
        <v>21</v>
      </c>
      <c r="M1" s="1" t="s">
        <v>22</v>
      </c>
      <c r="N1" s="1" t="s">
        <v>23</v>
      </c>
      <c r="O1" s="1" t="s">
        <v>24</v>
      </c>
    </row>
    <row r="2" spans="1:15" x14ac:dyDescent="0.25">
      <c r="A2" s="3">
        <v>46235</v>
      </c>
      <c r="B2" s="2" t="s">
        <v>9</v>
      </c>
      <c r="C2" s="2" t="str">
        <f>VLOOKUP(B2,Picker_Master!A:B,2,FALSE)</f>
        <v>Himanshu</v>
      </c>
      <c r="D2" s="2" t="s">
        <v>11</v>
      </c>
      <c r="E2" s="2">
        <v>82</v>
      </c>
      <c r="F2" s="2">
        <v>156</v>
      </c>
      <c r="G2" s="2">
        <v>8</v>
      </c>
      <c r="H2" s="2">
        <v>3</v>
      </c>
      <c r="I2" s="4">
        <v>320</v>
      </c>
      <c r="J2" s="14">
        <f t="shared" ref="J2:J11" si="0">F2/G2</f>
        <v>19.5</v>
      </c>
      <c r="K2" s="11">
        <f t="shared" ref="K2:K11" si="1">H2/F2%</f>
        <v>1.9230769230769229</v>
      </c>
      <c r="L2" s="15">
        <f t="shared" ref="L2:L11" si="2">I2/G2</f>
        <v>40</v>
      </c>
      <c r="M2" s="2" t="str">
        <f t="shared" ref="M2:M11" si="3">IF(J2&gt;=20,"High",IF(J2&gt;=15,"Average","Low"))</f>
        <v>Average</v>
      </c>
      <c r="N2" s="12">
        <f t="shared" ref="N2:N11" si="4">(J2/25)*70+(1-K2/100)*30</f>
        <v>84.023076923076928</v>
      </c>
      <c r="O2" s="2" t="str">
        <f t="shared" ref="O2:O11" si="5">IF(N2&gt;=85,"Excellent",IF(N2&gt;=70,"Good",IF(N2&gt;=55,"Average","Needs Improvement")))</f>
        <v>Good</v>
      </c>
    </row>
    <row r="3" spans="1:15" x14ac:dyDescent="0.25">
      <c r="A3" s="3">
        <v>46235</v>
      </c>
      <c r="B3" s="2" t="s">
        <v>12</v>
      </c>
      <c r="C3" s="2" t="s">
        <v>15</v>
      </c>
      <c r="D3" s="2" t="s">
        <v>11</v>
      </c>
      <c r="E3" s="2">
        <v>74</v>
      </c>
      <c r="F3" s="2">
        <v>142</v>
      </c>
      <c r="G3" s="2">
        <v>8</v>
      </c>
      <c r="H3" s="2">
        <v>5</v>
      </c>
      <c r="I3" s="4">
        <v>290</v>
      </c>
      <c r="J3" s="15">
        <f t="shared" si="0"/>
        <v>17.75</v>
      </c>
      <c r="K3" s="12">
        <f t="shared" si="1"/>
        <v>3.5211267605633805</v>
      </c>
      <c r="L3" s="15">
        <f t="shared" si="2"/>
        <v>36.25</v>
      </c>
      <c r="M3" s="2" t="str">
        <f t="shared" si="3"/>
        <v>Average</v>
      </c>
      <c r="N3" s="12">
        <f t="shared" si="4"/>
        <v>78.64366197183098</v>
      </c>
      <c r="O3" s="2" t="str">
        <f t="shared" si="5"/>
        <v>Good</v>
      </c>
    </row>
    <row r="4" spans="1:15" x14ac:dyDescent="0.25">
      <c r="A4" s="3">
        <v>46235</v>
      </c>
      <c r="B4" s="2" t="s">
        <v>13</v>
      </c>
      <c r="C4" s="2" t="s">
        <v>16</v>
      </c>
      <c r="D4" s="2" t="s">
        <v>18</v>
      </c>
      <c r="E4" s="2">
        <v>91</v>
      </c>
      <c r="F4" s="2">
        <v>178</v>
      </c>
      <c r="G4" s="2">
        <v>8</v>
      </c>
      <c r="H4" s="2">
        <v>2</v>
      </c>
      <c r="I4" s="4">
        <v>350</v>
      </c>
      <c r="J4" s="15">
        <f t="shared" si="0"/>
        <v>22.25</v>
      </c>
      <c r="K4" s="12">
        <f t="shared" si="1"/>
        <v>1.1235955056179776</v>
      </c>
      <c r="L4" s="15">
        <f t="shared" si="2"/>
        <v>43.75</v>
      </c>
      <c r="M4" s="2" t="str">
        <f t="shared" si="3"/>
        <v>High</v>
      </c>
      <c r="N4" s="12">
        <f t="shared" si="4"/>
        <v>91.962921348314609</v>
      </c>
      <c r="O4" s="2" t="str">
        <f t="shared" si="5"/>
        <v>Excellent</v>
      </c>
    </row>
    <row r="5" spans="1:15" x14ac:dyDescent="0.25">
      <c r="A5" s="3">
        <v>46235</v>
      </c>
      <c r="B5" s="2" t="s">
        <v>14</v>
      </c>
      <c r="C5" s="2" t="s">
        <v>17</v>
      </c>
      <c r="D5" s="2" t="s">
        <v>18</v>
      </c>
      <c r="E5" s="2">
        <v>68</v>
      </c>
      <c r="F5" s="2">
        <v>129</v>
      </c>
      <c r="G5" s="2">
        <v>7</v>
      </c>
      <c r="H5" s="2">
        <v>6</v>
      </c>
      <c r="I5" s="4">
        <v>265</v>
      </c>
      <c r="J5" s="15">
        <f t="shared" si="0"/>
        <v>18.428571428571427</v>
      </c>
      <c r="K5" s="12">
        <f t="shared" si="1"/>
        <v>4.6511627906976747</v>
      </c>
      <c r="L5" s="15">
        <f t="shared" si="2"/>
        <v>37.857142857142854</v>
      </c>
      <c r="M5" s="2" t="str">
        <f t="shared" si="3"/>
        <v>Average</v>
      </c>
      <c r="N5" s="12">
        <f t="shared" si="4"/>
        <v>80.204651162790697</v>
      </c>
      <c r="O5" s="2" t="str">
        <f t="shared" si="5"/>
        <v>Good</v>
      </c>
    </row>
    <row r="6" spans="1:15" x14ac:dyDescent="0.25">
      <c r="A6" s="3">
        <v>46236</v>
      </c>
      <c r="B6" s="2" t="s">
        <v>9</v>
      </c>
      <c r="C6" s="2" t="s">
        <v>10</v>
      </c>
      <c r="D6" s="2" t="s">
        <v>11</v>
      </c>
      <c r="E6" s="2">
        <v>88</v>
      </c>
      <c r="F6" s="2">
        <v>169</v>
      </c>
      <c r="G6" s="2">
        <v>8</v>
      </c>
      <c r="H6" s="2">
        <v>2</v>
      </c>
      <c r="I6" s="4">
        <v>340</v>
      </c>
      <c r="J6" s="15">
        <f t="shared" si="0"/>
        <v>21.125</v>
      </c>
      <c r="K6" s="12">
        <f t="shared" si="1"/>
        <v>1.1834319526627219</v>
      </c>
      <c r="L6" s="15">
        <f t="shared" si="2"/>
        <v>42.5</v>
      </c>
      <c r="M6" s="2" t="str">
        <f t="shared" si="3"/>
        <v>High</v>
      </c>
      <c r="N6" s="12">
        <f t="shared" si="4"/>
        <v>88.794970414201188</v>
      </c>
      <c r="O6" s="2" t="str">
        <f t="shared" si="5"/>
        <v>Excellent</v>
      </c>
    </row>
    <row r="7" spans="1:15" x14ac:dyDescent="0.25">
      <c r="A7" s="3">
        <v>46236</v>
      </c>
      <c r="B7" s="2" t="s">
        <v>12</v>
      </c>
      <c r="C7" s="2" t="s">
        <v>15</v>
      </c>
      <c r="D7" s="2" t="s">
        <v>11</v>
      </c>
      <c r="E7" s="2">
        <v>79</v>
      </c>
      <c r="F7" s="2">
        <v>151</v>
      </c>
      <c r="G7" s="2">
        <v>8</v>
      </c>
      <c r="H7" s="2">
        <v>4</v>
      </c>
      <c r="I7" s="4">
        <v>305</v>
      </c>
      <c r="J7" s="15">
        <f t="shared" si="0"/>
        <v>18.875</v>
      </c>
      <c r="K7" s="12">
        <f t="shared" si="1"/>
        <v>2.6490066225165565</v>
      </c>
      <c r="L7" s="15">
        <f t="shared" si="2"/>
        <v>38.125</v>
      </c>
      <c r="M7" s="2" t="str">
        <f t="shared" si="3"/>
        <v>Average</v>
      </c>
      <c r="N7" s="12">
        <f t="shared" si="4"/>
        <v>82.055298013245036</v>
      </c>
      <c r="O7" s="2" t="str">
        <f t="shared" si="5"/>
        <v>Good</v>
      </c>
    </row>
    <row r="8" spans="1:15" x14ac:dyDescent="0.25">
      <c r="A8" s="3">
        <v>46236</v>
      </c>
      <c r="B8" s="2" t="s">
        <v>13</v>
      </c>
      <c r="C8" s="2" t="s">
        <v>16</v>
      </c>
      <c r="D8" s="2" t="s">
        <v>18</v>
      </c>
      <c r="E8" s="2">
        <v>96</v>
      </c>
      <c r="F8" s="2">
        <v>187</v>
      </c>
      <c r="G8" s="2">
        <v>8</v>
      </c>
      <c r="H8" s="2">
        <v>3</v>
      </c>
      <c r="I8" s="4">
        <v>365</v>
      </c>
      <c r="J8" s="15">
        <f t="shared" si="0"/>
        <v>23.375</v>
      </c>
      <c r="K8" s="12">
        <f t="shared" si="1"/>
        <v>1.6042780748663101</v>
      </c>
      <c r="L8" s="15">
        <f t="shared" si="2"/>
        <v>45.625</v>
      </c>
      <c r="M8" s="2" t="str">
        <f t="shared" si="3"/>
        <v>High</v>
      </c>
      <c r="N8" s="12">
        <f t="shared" si="4"/>
        <v>94.968716577540107</v>
      </c>
      <c r="O8" s="2" t="str">
        <f t="shared" si="5"/>
        <v>Excellent</v>
      </c>
    </row>
    <row r="9" spans="1:15" x14ac:dyDescent="0.25">
      <c r="A9" s="3">
        <v>46236</v>
      </c>
      <c r="B9" s="2" t="s">
        <v>14</v>
      </c>
      <c r="C9" s="2" t="s">
        <v>17</v>
      </c>
      <c r="D9" s="2" t="s">
        <v>18</v>
      </c>
      <c r="E9" s="2">
        <v>72</v>
      </c>
      <c r="F9" s="2">
        <v>138</v>
      </c>
      <c r="G9" s="2">
        <v>7</v>
      </c>
      <c r="H9" s="2">
        <v>5</v>
      </c>
      <c r="I9" s="4">
        <v>280</v>
      </c>
      <c r="J9" s="15">
        <f t="shared" si="0"/>
        <v>19.714285714285715</v>
      </c>
      <c r="K9" s="12">
        <f t="shared" si="1"/>
        <v>3.6231884057971016</v>
      </c>
      <c r="L9" s="15">
        <f t="shared" si="2"/>
        <v>40</v>
      </c>
      <c r="M9" s="2" t="str">
        <f t="shared" si="3"/>
        <v>Average</v>
      </c>
      <c r="N9" s="12">
        <f t="shared" si="4"/>
        <v>84.113043478260863</v>
      </c>
      <c r="O9" s="2" t="str">
        <f t="shared" si="5"/>
        <v>Good</v>
      </c>
    </row>
    <row r="10" spans="1:15" x14ac:dyDescent="0.25">
      <c r="A10" s="3">
        <v>46237</v>
      </c>
      <c r="B10" s="2" t="s">
        <v>9</v>
      </c>
      <c r="C10" s="2" t="s">
        <v>10</v>
      </c>
      <c r="D10" s="2" t="s">
        <v>11</v>
      </c>
      <c r="E10" s="2">
        <v>85</v>
      </c>
      <c r="F10" s="2">
        <v>163</v>
      </c>
      <c r="G10" s="2">
        <v>8</v>
      </c>
      <c r="H10" s="2">
        <v>6</v>
      </c>
      <c r="I10" s="4">
        <v>330</v>
      </c>
      <c r="J10" s="15">
        <f t="shared" si="0"/>
        <v>20.375</v>
      </c>
      <c r="K10" s="12">
        <f t="shared" si="1"/>
        <v>3.6809815950920246</v>
      </c>
      <c r="L10" s="15">
        <f t="shared" si="2"/>
        <v>41.25</v>
      </c>
      <c r="M10" s="2" t="str">
        <f t="shared" si="3"/>
        <v>High</v>
      </c>
      <c r="N10" s="12">
        <f t="shared" si="4"/>
        <v>85.945705521472391</v>
      </c>
      <c r="O10" s="2" t="str">
        <f t="shared" si="5"/>
        <v>Excellent</v>
      </c>
    </row>
    <row r="11" spans="1:15" x14ac:dyDescent="0.25">
      <c r="A11" s="8">
        <v>46237</v>
      </c>
      <c r="B11" s="9" t="s">
        <v>12</v>
      </c>
      <c r="C11" s="9" t="s">
        <v>15</v>
      </c>
      <c r="D11" s="9" t="s">
        <v>11</v>
      </c>
      <c r="E11" s="9">
        <v>76</v>
      </c>
      <c r="F11" s="9">
        <v>147</v>
      </c>
      <c r="G11" s="9">
        <v>8</v>
      </c>
      <c r="H11" s="9">
        <v>4</v>
      </c>
      <c r="I11" s="10">
        <v>300</v>
      </c>
      <c r="J11" s="16">
        <f t="shared" si="0"/>
        <v>18.375</v>
      </c>
      <c r="K11" s="13">
        <f t="shared" si="1"/>
        <v>2.7210884353741496</v>
      </c>
      <c r="L11" s="15">
        <f t="shared" si="2"/>
        <v>37.5</v>
      </c>
      <c r="M11" s="2" t="str">
        <f t="shared" si="3"/>
        <v>Average</v>
      </c>
      <c r="N11" s="12">
        <f t="shared" si="4"/>
        <v>80.633673469387759</v>
      </c>
      <c r="O11" s="2" t="str">
        <f t="shared" si="5"/>
        <v>Good</v>
      </c>
    </row>
    <row r="12" spans="1:15" x14ac:dyDescent="0.25">
      <c r="A12" s="3">
        <v>46238</v>
      </c>
      <c r="B12" s="2" t="s">
        <v>9</v>
      </c>
      <c r="C12" s="2" t="str">
        <f>VLOOKUP(B12,Picker_Master!A:B,2,FALSE)</f>
        <v>Himanshu</v>
      </c>
      <c r="D12" s="2" t="s">
        <v>11</v>
      </c>
      <c r="E12" s="2">
        <v>84</v>
      </c>
      <c r="F12" s="2">
        <v>161</v>
      </c>
      <c r="G12" s="2">
        <v>8</v>
      </c>
      <c r="H12" s="2">
        <v>3</v>
      </c>
      <c r="I12" s="2">
        <v>325</v>
      </c>
      <c r="J12" s="15">
        <f t="shared" ref="J12:J51" si="6">F12/G12</f>
        <v>20.125</v>
      </c>
      <c r="K12" s="19">
        <f t="shared" ref="K12:K51" si="7">H12/F12%</f>
        <v>1.8633540372670807</v>
      </c>
      <c r="L12" s="15">
        <f t="shared" ref="L12:L51" si="8">I12/G12</f>
        <v>40.625</v>
      </c>
      <c r="M12" s="20" t="str">
        <f t="shared" ref="M12:M51" si="9">IF(J12&gt;=20,"High",IF(J12&gt;=15,"Average","Low"))</f>
        <v>High</v>
      </c>
      <c r="N12" s="12">
        <f t="shared" ref="N12:N51" si="10">(J12/25)*70+(1-K12/100)*30</f>
        <v>85.790993788819875</v>
      </c>
      <c r="O12" s="21" t="str">
        <f t="shared" ref="O12:O51" si="11">IF(N12&gt;=85,"Excellent",IF(N12&gt;=70,"Good",IF(N12&gt;=55,"Average","Needs Improvement")))</f>
        <v>Excellent</v>
      </c>
    </row>
    <row r="13" spans="1:15" x14ac:dyDescent="0.25">
      <c r="A13" s="3">
        <v>46238</v>
      </c>
      <c r="B13" s="2" t="s">
        <v>12</v>
      </c>
      <c r="C13" s="2" t="str">
        <f>VLOOKUP(B13,Picker_Master!A:B,2,FALSE)</f>
        <v>Rahul</v>
      </c>
      <c r="D13" s="2" t="s">
        <v>11</v>
      </c>
      <c r="E13" s="2">
        <v>77</v>
      </c>
      <c r="F13" s="2">
        <v>148</v>
      </c>
      <c r="G13" s="2">
        <v>8</v>
      </c>
      <c r="H13" s="2">
        <v>4</v>
      </c>
      <c r="I13" s="2">
        <v>305</v>
      </c>
      <c r="J13" s="15">
        <f t="shared" si="6"/>
        <v>18.5</v>
      </c>
      <c r="K13" s="19">
        <f t="shared" si="7"/>
        <v>2.7027027027027026</v>
      </c>
      <c r="L13" s="15">
        <f t="shared" si="8"/>
        <v>38.125</v>
      </c>
      <c r="M13" s="20" t="str">
        <f t="shared" si="9"/>
        <v>Average</v>
      </c>
      <c r="N13" s="12">
        <f t="shared" si="10"/>
        <v>80.98918918918919</v>
      </c>
      <c r="O13" s="21" t="str">
        <f t="shared" si="11"/>
        <v>Good</v>
      </c>
    </row>
    <row r="14" spans="1:15" x14ac:dyDescent="0.25">
      <c r="A14" s="3">
        <v>46238</v>
      </c>
      <c r="B14" s="2" t="s">
        <v>13</v>
      </c>
      <c r="C14" s="2" t="str">
        <f>VLOOKUP(B14,Picker_Master!A:B,2,FALSE)</f>
        <v>Amit</v>
      </c>
      <c r="D14" s="2" t="s">
        <v>18</v>
      </c>
      <c r="E14" s="2">
        <v>94</v>
      </c>
      <c r="F14" s="2">
        <v>182</v>
      </c>
      <c r="G14" s="2">
        <v>8</v>
      </c>
      <c r="H14" s="2">
        <v>2</v>
      </c>
      <c r="I14" s="2">
        <v>360</v>
      </c>
      <c r="J14" s="15">
        <f t="shared" si="6"/>
        <v>22.75</v>
      </c>
      <c r="K14" s="19">
        <f t="shared" si="7"/>
        <v>1.0989010989010988</v>
      </c>
      <c r="L14" s="15">
        <f t="shared" si="8"/>
        <v>45</v>
      </c>
      <c r="M14" s="20" t="str">
        <f t="shared" si="9"/>
        <v>High</v>
      </c>
      <c r="N14" s="12">
        <f t="shared" si="10"/>
        <v>93.370329670329681</v>
      </c>
      <c r="O14" s="21" t="str">
        <f t="shared" si="11"/>
        <v>Excellent</v>
      </c>
    </row>
    <row r="15" spans="1:15" x14ac:dyDescent="0.25">
      <c r="A15" s="3">
        <v>46238</v>
      </c>
      <c r="B15" s="2" t="s">
        <v>14</v>
      </c>
      <c r="C15" s="2" t="str">
        <f>VLOOKUP(B15,Picker_Master!A:B,2,FALSE)</f>
        <v>Rohit</v>
      </c>
      <c r="D15" s="2" t="s">
        <v>18</v>
      </c>
      <c r="E15" s="2">
        <v>70</v>
      </c>
      <c r="F15" s="2">
        <v>134</v>
      </c>
      <c r="G15" s="2">
        <v>7</v>
      </c>
      <c r="H15" s="2">
        <v>5</v>
      </c>
      <c r="I15" s="2">
        <v>275</v>
      </c>
      <c r="J15" s="15">
        <f t="shared" si="6"/>
        <v>19.142857142857142</v>
      </c>
      <c r="K15" s="19">
        <f t="shared" si="7"/>
        <v>3.7313432835820892</v>
      </c>
      <c r="L15" s="15">
        <f t="shared" si="8"/>
        <v>39.285714285714285</v>
      </c>
      <c r="M15" s="20" t="str">
        <f t="shared" si="9"/>
        <v>Average</v>
      </c>
      <c r="N15" s="12">
        <f t="shared" si="10"/>
        <v>82.480597014925365</v>
      </c>
      <c r="O15" s="21" t="str">
        <f t="shared" si="11"/>
        <v>Good</v>
      </c>
    </row>
    <row r="16" spans="1:15" x14ac:dyDescent="0.25">
      <c r="A16" s="3">
        <v>46239</v>
      </c>
      <c r="B16" s="2" t="s">
        <v>9</v>
      </c>
      <c r="C16" s="2" t="str">
        <f>VLOOKUP(B16,Picker_Master!A:B,2,FALSE)</f>
        <v>Himanshu</v>
      </c>
      <c r="D16" s="2" t="s">
        <v>11</v>
      </c>
      <c r="E16" s="2">
        <v>89</v>
      </c>
      <c r="F16" s="2">
        <v>171</v>
      </c>
      <c r="G16" s="2">
        <v>8</v>
      </c>
      <c r="H16" s="2">
        <v>2</v>
      </c>
      <c r="I16" s="2">
        <v>345</v>
      </c>
      <c r="J16" s="15">
        <f t="shared" si="6"/>
        <v>21.375</v>
      </c>
      <c r="K16" s="19">
        <f t="shared" si="7"/>
        <v>1.1695906432748537</v>
      </c>
      <c r="L16" s="15">
        <f t="shared" si="8"/>
        <v>43.125</v>
      </c>
      <c r="M16" s="20" t="str">
        <f t="shared" si="9"/>
        <v>High</v>
      </c>
      <c r="N16" s="12">
        <f t="shared" si="10"/>
        <v>89.499122807017542</v>
      </c>
      <c r="O16" s="21" t="str">
        <f t="shared" si="11"/>
        <v>Excellent</v>
      </c>
    </row>
    <row r="17" spans="1:15" x14ac:dyDescent="0.25">
      <c r="A17" s="3">
        <v>46239</v>
      </c>
      <c r="B17" s="2" t="s">
        <v>12</v>
      </c>
      <c r="C17" s="2" t="str">
        <f>VLOOKUP(B17,Picker_Master!A:B,2,FALSE)</f>
        <v>Rahul</v>
      </c>
      <c r="D17" s="2" t="s">
        <v>11</v>
      </c>
      <c r="E17" s="2">
        <v>81</v>
      </c>
      <c r="F17" s="2">
        <v>155</v>
      </c>
      <c r="G17" s="2">
        <v>8</v>
      </c>
      <c r="H17" s="2">
        <v>3</v>
      </c>
      <c r="I17" s="2">
        <v>315</v>
      </c>
      <c r="J17" s="15">
        <f t="shared" si="6"/>
        <v>19.375</v>
      </c>
      <c r="K17" s="19">
        <f t="shared" si="7"/>
        <v>1.9354838709677418</v>
      </c>
      <c r="L17" s="15">
        <f t="shared" si="8"/>
        <v>39.375</v>
      </c>
      <c r="M17" s="20" t="str">
        <f t="shared" si="9"/>
        <v>Average</v>
      </c>
      <c r="N17" s="12">
        <f t="shared" si="10"/>
        <v>83.66935483870968</v>
      </c>
      <c r="O17" s="21" t="str">
        <f t="shared" si="11"/>
        <v>Good</v>
      </c>
    </row>
    <row r="18" spans="1:15" x14ac:dyDescent="0.25">
      <c r="A18" s="3">
        <v>46239</v>
      </c>
      <c r="B18" s="2" t="s">
        <v>13</v>
      </c>
      <c r="C18" s="2" t="str">
        <f>VLOOKUP(B18,Picker_Master!A:B,2,FALSE)</f>
        <v>Amit</v>
      </c>
      <c r="D18" s="2" t="s">
        <v>18</v>
      </c>
      <c r="E18" s="2">
        <v>98</v>
      </c>
      <c r="F18" s="2">
        <v>191</v>
      </c>
      <c r="G18" s="2">
        <v>8</v>
      </c>
      <c r="H18" s="2">
        <v>2</v>
      </c>
      <c r="I18" s="2">
        <v>375</v>
      </c>
      <c r="J18" s="15">
        <f t="shared" si="6"/>
        <v>23.875</v>
      </c>
      <c r="K18" s="19">
        <f t="shared" si="7"/>
        <v>1.0471204188481675</v>
      </c>
      <c r="L18" s="15">
        <f t="shared" si="8"/>
        <v>46.875</v>
      </c>
      <c r="M18" s="20" t="str">
        <f t="shared" si="9"/>
        <v>High</v>
      </c>
      <c r="N18" s="12">
        <f t="shared" si="10"/>
        <v>96.535863874345551</v>
      </c>
      <c r="O18" s="21" t="str">
        <f t="shared" si="11"/>
        <v>Excellent</v>
      </c>
    </row>
    <row r="19" spans="1:15" x14ac:dyDescent="0.25">
      <c r="A19" s="3">
        <v>46239</v>
      </c>
      <c r="B19" s="2" t="s">
        <v>14</v>
      </c>
      <c r="C19" s="2" t="str">
        <f>VLOOKUP(B19,Picker_Master!A:B,2,FALSE)</f>
        <v>Rohit</v>
      </c>
      <c r="D19" s="2" t="s">
        <v>18</v>
      </c>
      <c r="E19" s="2">
        <v>73</v>
      </c>
      <c r="F19" s="2">
        <v>140</v>
      </c>
      <c r="G19" s="2">
        <v>7</v>
      </c>
      <c r="H19" s="2">
        <v>4</v>
      </c>
      <c r="I19" s="2">
        <v>285</v>
      </c>
      <c r="J19" s="15">
        <f t="shared" si="6"/>
        <v>20</v>
      </c>
      <c r="K19" s="19">
        <f t="shared" si="7"/>
        <v>2.8571428571428572</v>
      </c>
      <c r="L19" s="15">
        <f t="shared" si="8"/>
        <v>40.714285714285715</v>
      </c>
      <c r="M19" s="20" t="str">
        <f t="shared" si="9"/>
        <v>High</v>
      </c>
      <c r="N19" s="12">
        <f t="shared" si="10"/>
        <v>85.142857142857139</v>
      </c>
      <c r="O19" s="21" t="str">
        <f t="shared" si="11"/>
        <v>Excellent</v>
      </c>
    </row>
    <row r="20" spans="1:15" x14ac:dyDescent="0.25">
      <c r="A20" s="3">
        <v>46240</v>
      </c>
      <c r="B20" s="2" t="s">
        <v>9</v>
      </c>
      <c r="C20" s="2" t="str">
        <f>VLOOKUP(B20,Picker_Master!A:B,2,FALSE)</f>
        <v>Himanshu</v>
      </c>
      <c r="D20" s="2" t="s">
        <v>11</v>
      </c>
      <c r="E20" s="2">
        <v>86</v>
      </c>
      <c r="F20" s="2">
        <v>165</v>
      </c>
      <c r="G20" s="2">
        <v>8</v>
      </c>
      <c r="H20" s="2">
        <v>4</v>
      </c>
      <c r="I20" s="2">
        <v>335</v>
      </c>
      <c r="J20" s="15">
        <f t="shared" si="6"/>
        <v>20.625</v>
      </c>
      <c r="K20" s="19">
        <f t="shared" si="7"/>
        <v>2.4242424242424243</v>
      </c>
      <c r="L20" s="15">
        <f t="shared" si="8"/>
        <v>41.875</v>
      </c>
      <c r="M20" s="20" t="str">
        <f t="shared" si="9"/>
        <v>High</v>
      </c>
      <c r="N20" s="12">
        <f t="shared" si="10"/>
        <v>87.022727272727266</v>
      </c>
      <c r="O20" s="21" t="str">
        <f t="shared" si="11"/>
        <v>Excellent</v>
      </c>
    </row>
    <row r="21" spans="1:15" x14ac:dyDescent="0.25">
      <c r="A21" s="3">
        <v>46240</v>
      </c>
      <c r="B21" s="2" t="s">
        <v>12</v>
      </c>
      <c r="C21" s="2" t="str">
        <f>VLOOKUP(B21,Picker_Master!A:B,2,FALSE)</f>
        <v>Rahul</v>
      </c>
      <c r="D21" s="2" t="s">
        <v>11</v>
      </c>
      <c r="E21" s="2">
        <v>75</v>
      </c>
      <c r="F21" s="2">
        <v>144</v>
      </c>
      <c r="G21" s="2">
        <v>8</v>
      </c>
      <c r="H21" s="2">
        <v>5</v>
      </c>
      <c r="I21" s="2">
        <v>295</v>
      </c>
      <c r="J21" s="15">
        <f t="shared" si="6"/>
        <v>18</v>
      </c>
      <c r="K21" s="19">
        <f t="shared" si="7"/>
        <v>3.4722222222222223</v>
      </c>
      <c r="L21" s="15">
        <f t="shared" si="8"/>
        <v>36.875</v>
      </c>
      <c r="M21" s="20" t="str">
        <f t="shared" si="9"/>
        <v>Average</v>
      </c>
      <c r="N21" s="12">
        <f t="shared" si="10"/>
        <v>79.358333333333334</v>
      </c>
      <c r="O21" s="21" t="str">
        <f t="shared" si="11"/>
        <v>Good</v>
      </c>
    </row>
    <row r="22" spans="1:15" x14ac:dyDescent="0.25">
      <c r="A22" s="3">
        <v>46240</v>
      </c>
      <c r="B22" s="2" t="s">
        <v>13</v>
      </c>
      <c r="C22" s="2" t="str">
        <f>VLOOKUP(B22,Picker_Master!A:B,2,FALSE)</f>
        <v>Amit</v>
      </c>
      <c r="D22" s="2" t="s">
        <v>18</v>
      </c>
      <c r="E22" s="2">
        <v>92</v>
      </c>
      <c r="F22" s="2">
        <v>179</v>
      </c>
      <c r="G22" s="2">
        <v>8</v>
      </c>
      <c r="H22" s="2">
        <v>3</v>
      </c>
      <c r="I22" s="2">
        <v>355</v>
      </c>
      <c r="J22" s="15">
        <f t="shared" si="6"/>
        <v>22.375</v>
      </c>
      <c r="K22" s="19">
        <f t="shared" si="7"/>
        <v>1.6759776536312849</v>
      </c>
      <c r="L22" s="15">
        <f t="shared" si="8"/>
        <v>44.375</v>
      </c>
      <c r="M22" s="20" t="str">
        <f t="shared" si="9"/>
        <v>High</v>
      </c>
      <c r="N22" s="12">
        <f t="shared" si="10"/>
        <v>92.147206703910612</v>
      </c>
      <c r="O22" s="21" t="str">
        <f t="shared" si="11"/>
        <v>Excellent</v>
      </c>
    </row>
    <row r="23" spans="1:15" x14ac:dyDescent="0.25">
      <c r="A23" s="3">
        <v>46240</v>
      </c>
      <c r="B23" s="2" t="s">
        <v>14</v>
      </c>
      <c r="C23" s="2" t="str">
        <f>VLOOKUP(B23,Picker_Master!A:B,2,FALSE)</f>
        <v>Rohit</v>
      </c>
      <c r="D23" s="2" t="s">
        <v>18</v>
      </c>
      <c r="E23" s="2">
        <v>69</v>
      </c>
      <c r="F23" s="2">
        <v>132</v>
      </c>
      <c r="G23" s="2">
        <v>7</v>
      </c>
      <c r="H23" s="2">
        <v>6</v>
      </c>
      <c r="I23" s="2">
        <v>270</v>
      </c>
      <c r="J23" s="15">
        <f t="shared" si="6"/>
        <v>18.857142857142858</v>
      </c>
      <c r="K23" s="19">
        <f t="shared" si="7"/>
        <v>4.545454545454545</v>
      </c>
      <c r="L23" s="15">
        <f t="shared" si="8"/>
        <v>38.571428571428569</v>
      </c>
      <c r="M23" s="20" t="str">
        <f t="shared" si="9"/>
        <v>Average</v>
      </c>
      <c r="N23" s="12">
        <f t="shared" si="10"/>
        <v>81.436363636363637</v>
      </c>
      <c r="O23" s="21" t="str">
        <f t="shared" si="11"/>
        <v>Good</v>
      </c>
    </row>
    <row r="24" spans="1:15" x14ac:dyDescent="0.25">
      <c r="A24" s="3">
        <v>46241</v>
      </c>
      <c r="B24" s="2" t="s">
        <v>9</v>
      </c>
      <c r="C24" s="2" t="str">
        <f>VLOOKUP(B24,Picker_Master!A:B,2,FALSE)</f>
        <v>Himanshu</v>
      </c>
      <c r="D24" s="2" t="s">
        <v>11</v>
      </c>
      <c r="E24" s="2">
        <v>91</v>
      </c>
      <c r="F24" s="2">
        <v>175</v>
      </c>
      <c r="G24" s="2">
        <v>8</v>
      </c>
      <c r="H24" s="2">
        <v>2</v>
      </c>
      <c r="I24" s="2">
        <v>350</v>
      </c>
      <c r="J24" s="15">
        <f t="shared" si="6"/>
        <v>21.875</v>
      </c>
      <c r="K24" s="19">
        <f t="shared" si="7"/>
        <v>1.1428571428571428</v>
      </c>
      <c r="L24" s="15">
        <f t="shared" si="8"/>
        <v>43.75</v>
      </c>
      <c r="M24" s="20" t="str">
        <f t="shared" si="9"/>
        <v>High</v>
      </c>
      <c r="N24" s="12">
        <f t="shared" si="10"/>
        <v>90.907142857142858</v>
      </c>
      <c r="O24" s="21" t="str">
        <f t="shared" si="11"/>
        <v>Excellent</v>
      </c>
    </row>
    <row r="25" spans="1:15" x14ac:dyDescent="0.25">
      <c r="A25" s="3">
        <v>46241</v>
      </c>
      <c r="B25" s="2" t="s">
        <v>12</v>
      </c>
      <c r="C25" s="2" t="str">
        <f>VLOOKUP(B25,Picker_Master!A:B,2,FALSE)</f>
        <v>Rahul</v>
      </c>
      <c r="D25" s="2" t="s">
        <v>11</v>
      </c>
      <c r="E25" s="2">
        <v>83</v>
      </c>
      <c r="F25" s="2">
        <v>159</v>
      </c>
      <c r="G25" s="2">
        <v>8</v>
      </c>
      <c r="H25" s="2">
        <v>3</v>
      </c>
      <c r="I25" s="2">
        <v>320</v>
      </c>
      <c r="J25" s="15">
        <f t="shared" si="6"/>
        <v>19.875</v>
      </c>
      <c r="K25" s="19">
        <f t="shared" si="7"/>
        <v>1.8867924528301885</v>
      </c>
      <c r="L25" s="15">
        <f t="shared" si="8"/>
        <v>40</v>
      </c>
      <c r="M25" s="20" t="str">
        <f t="shared" si="9"/>
        <v>Average</v>
      </c>
      <c r="N25" s="12">
        <f t="shared" si="10"/>
        <v>85.083962264150955</v>
      </c>
      <c r="O25" s="21" t="str">
        <f t="shared" si="11"/>
        <v>Excellent</v>
      </c>
    </row>
    <row r="26" spans="1:15" x14ac:dyDescent="0.25">
      <c r="A26" s="3">
        <v>46241</v>
      </c>
      <c r="B26" s="2" t="s">
        <v>13</v>
      </c>
      <c r="C26" s="2" t="str">
        <f>VLOOKUP(B26,Picker_Master!A:B,2,FALSE)</f>
        <v>Amit</v>
      </c>
      <c r="D26" s="2" t="s">
        <v>18</v>
      </c>
      <c r="E26" s="2">
        <v>96</v>
      </c>
      <c r="F26" s="2">
        <v>185</v>
      </c>
      <c r="G26" s="2">
        <v>8</v>
      </c>
      <c r="H26" s="2">
        <v>2</v>
      </c>
      <c r="I26" s="2">
        <v>370</v>
      </c>
      <c r="J26" s="15">
        <f t="shared" si="6"/>
        <v>23.125</v>
      </c>
      <c r="K26" s="19">
        <f t="shared" si="7"/>
        <v>1.0810810810810809</v>
      </c>
      <c r="L26" s="15">
        <f t="shared" si="8"/>
        <v>46.25</v>
      </c>
      <c r="M26" s="20" t="str">
        <f t="shared" si="9"/>
        <v>High</v>
      </c>
      <c r="N26" s="12">
        <f t="shared" si="10"/>
        <v>94.425675675675677</v>
      </c>
      <c r="O26" s="21" t="str">
        <f t="shared" si="11"/>
        <v>Excellent</v>
      </c>
    </row>
    <row r="27" spans="1:15" x14ac:dyDescent="0.25">
      <c r="A27" s="3">
        <v>46241</v>
      </c>
      <c r="B27" s="2" t="s">
        <v>14</v>
      </c>
      <c r="C27" s="2" t="str">
        <f>VLOOKUP(B27,Picker_Master!A:B,2,FALSE)</f>
        <v>Rohit</v>
      </c>
      <c r="D27" s="2" t="s">
        <v>18</v>
      </c>
      <c r="E27" s="2">
        <v>76</v>
      </c>
      <c r="F27" s="2">
        <v>146</v>
      </c>
      <c r="G27" s="2">
        <v>7</v>
      </c>
      <c r="H27" s="2">
        <v>4</v>
      </c>
      <c r="I27" s="2">
        <v>290</v>
      </c>
      <c r="J27" s="15">
        <f t="shared" si="6"/>
        <v>20.857142857142858</v>
      </c>
      <c r="K27" s="19">
        <f t="shared" si="7"/>
        <v>2.7397260273972601</v>
      </c>
      <c r="L27" s="15">
        <f t="shared" si="8"/>
        <v>41.428571428571431</v>
      </c>
      <c r="M27" s="20" t="str">
        <f t="shared" si="9"/>
        <v>High</v>
      </c>
      <c r="N27" s="12">
        <f t="shared" si="10"/>
        <v>87.578082191780823</v>
      </c>
      <c r="O27" s="21" t="str">
        <f t="shared" si="11"/>
        <v>Excellent</v>
      </c>
    </row>
    <row r="28" spans="1:15" x14ac:dyDescent="0.25">
      <c r="A28" s="3">
        <v>46242</v>
      </c>
      <c r="B28" s="2" t="s">
        <v>9</v>
      </c>
      <c r="C28" s="2" t="str">
        <f>VLOOKUP(B28,Picker_Master!A:B,2,FALSE)</f>
        <v>Himanshu</v>
      </c>
      <c r="D28" s="2" t="s">
        <v>11</v>
      </c>
      <c r="E28" s="2">
        <v>87</v>
      </c>
      <c r="F28" s="2">
        <v>168</v>
      </c>
      <c r="G28" s="2">
        <v>8</v>
      </c>
      <c r="H28" s="2">
        <v>3</v>
      </c>
      <c r="I28" s="2">
        <v>340</v>
      </c>
      <c r="J28" s="15">
        <f t="shared" si="6"/>
        <v>21</v>
      </c>
      <c r="K28" s="19">
        <f t="shared" si="7"/>
        <v>1.7857142857142858</v>
      </c>
      <c r="L28" s="15">
        <f t="shared" si="8"/>
        <v>42.5</v>
      </c>
      <c r="M28" s="20" t="str">
        <f t="shared" si="9"/>
        <v>High</v>
      </c>
      <c r="N28" s="12">
        <f t="shared" si="10"/>
        <v>88.264285714285705</v>
      </c>
      <c r="O28" s="21" t="str">
        <f t="shared" si="11"/>
        <v>Excellent</v>
      </c>
    </row>
    <row r="29" spans="1:15" x14ac:dyDescent="0.25">
      <c r="A29" s="3">
        <v>46242</v>
      </c>
      <c r="B29" s="2" t="s">
        <v>12</v>
      </c>
      <c r="C29" s="2" t="str">
        <f>VLOOKUP(B29,Picker_Master!A:B,2,FALSE)</f>
        <v>Rahul</v>
      </c>
      <c r="D29" s="2" t="s">
        <v>11</v>
      </c>
      <c r="E29" s="2">
        <v>79</v>
      </c>
      <c r="F29" s="2">
        <v>152</v>
      </c>
      <c r="G29" s="2">
        <v>8</v>
      </c>
      <c r="H29" s="2">
        <v>4</v>
      </c>
      <c r="I29" s="2">
        <v>310</v>
      </c>
      <c r="J29" s="15">
        <f t="shared" si="6"/>
        <v>19</v>
      </c>
      <c r="K29" s="19">
        <f t="shared" si="7"/>
        <v>2.6315789473684212</v>
      </c>
      <c r="L29" s="15">
        <f t="shared" si="8"/>
        <v>38.75</v>
      </c>
      <c r="M29" s="20" t="str">
        <f t="shared" si="9"/>
        <v>Average</v>
      </c>
      <c r="N29" s="12">
        <f t="shared" si="10"/>
        <v>82.410526315789483</v>
      </c>
      <c r="O29" s="21" t="str">
        <f t="shared" si="11"/>
        <v>Good</v>
      </c>
    </row>
    <row r="30" spans="1:15" x14ac:dyDescent="0.25">
      <c r="A30" s="3">
        <v>46242</v>
      </c>
      <c r="B30" s="2" t="s">
        <v>13</v>
      </c>
      <c r="C30" s="2" t="str">
        <f>VLOOKUP(B30,Picker_Master!A:B,2,FALSE)</f>
        <v>Amit</v>
      </c>
      <c r="D30" s="2" t="s">
        <v>18</v>
      </c>
      <c r="E30" s="2">
        <v>99</v>
      </c>
      <c r="F30" s="2">
        <v>193</v>
      </c>
      <c r="G30" s="2">
        <v>8</v>
      </c>
      <c r="H30" s="2">
        <v>1</v>
      </c>
      <c r="I30" s="2">
        <v>380</v>
      </c>
      <c r="J30" s="15">
        <f t="shared" si="6"/>
        <v>24.125</v>
      </c>
      <c r="K30" s="19">
        <f t="shared" si="7"/>
        <v>0.5181347150259068</v>
      </c>
      <c r="L30" s="15">
        <f t="shared" si="8"/>
        <v>47.5</v>
      </c>
      <c r="M30" s="20" t="str">
        <f t="shared" si="9"/>
        <v>High</v>
      </c>
      <c r="N30" s="12">
        <f t="shared" si="10"/>
        <v>97.394559585492232</v>
      </c>
      <c r="O30" s="21" t="str">
        <f t="shared" si="11"/>
        <v>Excellent</v>
      </c>
    </row>
    <row r="31" spans="1:15" x14ac:dyDescent="0.25">
      <c r="A31" s="3">
        <v>46242</v>
      </c>
      <c r="B31" s="2" t="s">
        <v>14</v>
      </c>
      <c r="C31" s="2" t="str">
        <f>VLOOKUP(B31,Picker_Master!A:B,2,FALSE)</f>
        <v>Rohit</v>
      </c>
      <c r="D31" s="2" t="s">
        <v>18</v>
      </c>
      <c r="E31" s="2">
        <v>71</v>
      </c>
      <c r="F31" s="2">
        <v>136</v>
      </c>
      <c r="G31" s="2">
        <v>7</v>
      </c>
      <c r="H31" s="2">
        <v>5</v>
      </c>
      <c r="I31" s="2">
        <v>280</v>
      </c>
      <c r="J31" s="15">
        <f t="shared" si="6"/>
        <v>19.428571428571427</v>
      </c>
      <c r="K31" s="19">
        <f t="shared" si="7"/>
        <v>3.6764705882352939</v>
      </c>
      <c r="L31" s="15">
        <f t="shared" si="8"/>
        <v>40</v>
      </c>
      <c r="M31" s="20" t="str">
        <f t="shared" si="9"/>
        <v>Average</v>
      </c>
      <c r="N31" s="12">
        <f t="shared" si="10"/>
        <v>83.297058823529412</v>
      </c>
      <c r="O31" s="21" t="str">
        <f t="shared" si="11"/>
        <v>Good</v>
      </c>
    </row>
    <row r="32" spans="1:15" x14ac:dyDescent="0.25">
      <c r="A32" s="3">
        <v>46243</v>
      </c>
      <c r="B32" s="2" t="s">
        <v>9</v>
      </c>
      <c r="C32" s="2" t="str">
        <f>VLOOKUP(B32,Picker_Master!A:B,2,FALSE)</f>
        <v>Himanshu</v>
      </c>
      <c r="D32" s="2" t="s">
        <v>11</v>
      </c>
      <c r="E32" s="2">
        <v>85</v>
      </c>
      <c r="F32" s="2">
        <v>164</v>
      </c>
      <c r="G32" s="2">
        <v>8</v>
      </c>
      <c r="H32" s="2">
        <v>3</v>
      </c>
      <c r="I32" s="2">
        <v>330</v>
      </c>
      <c r="J32" s="15">
        <f t="shared" si="6"/>
        <v>20.5</v>
      </c>
      <c r="K32" s="19">
        <f t="shared" si="7"/>
        <v>1.8292682926829269</v>
      </c>
      <c r="L32" s="15">
        <f t="shared" si="8"/>
        <v>41.25</v>
      </c>
      <c r="M32" s="20" t="str">
        <f t="shared" si="9"/>
        <v>High</v>
      </c>
      <c r="N32" s="12">
        <f t="shared" si="10"/>
        <v>86.851219512195115</v>
      </c>
      <c r="O32" s="21" t="str">
        <f t="shared" si="11"/>
        <v>Excellent</v>
      </c>
    </row>
    <row r="33" spans="1:15" x14ac:dyDescent="0.25">
      <c r="A33" s="3">
        <v>46243</v>
      </c>
      <c r="B33" s="2" t="s">
        <v>12</v>
      </c>
      <c r="C33" s="2" t="str">
        <f>VLOOKUP(B33,Picker_Master!A:B,2,FALSE)</f>
        <v>Rahul</v>
      </c>
      <c r="D33" s="2" t="s">
        <v>11</v>
      </c>
      <c r="E33" s="2">
        <v>80</v>
      </c>
      <c r="F33" s="2">
        <v>153</v>
      </c>
      <c r="G33" s="2">
        <v>8</v>
      </c>
      <c r="H33" s="2">
        <v>3</v>
      </c>
      <c r="I33" s="2">
        <v>315</v>
      </c>
      <c r="J33" s="15">
        <f t="shared" si="6"/>
        <v>19.125</v>
      </c>
      <c r="K33" s="19">
        <f t="shared" si="7"/>
        <v>1.9607843137254901</v>
      </c>
      <c r="L33" s="15">
        <f t="shared" si="8"/>
        <v>39.375</v>
      </c>
      <c r="M33" s="20" t="str">
        <f t="shared" si="9"/>
        <v>Average</v>
      </c>
      <c r="N33" s="12">
        <f t="shared" si="10"/>
        <v>82.961764705882359</v>
      </c>
      <c r="O33" s="21" t="str">
        <f t="shared" si="11"/>
        <v>Good</v>
      </c>
    </row>
    <row r="34" spans="1:15" x14ac:dyDescent="0.25">
      <c r="A34" s="3">
        <v>46243</v>
      </c>
      <c r="B34" s="2" t="s">
        <v>13</v>
      </c>
      <c r="C34" s="2" t="str">
        <f>VLOOKUP(B34,Picker_Master!A:B,2,FALSE)</f>
        <v>Amit</v>
      </c>
      <c r="D34" s="2" t="s">
        <v>18</v>
      </c>
      <c r="E34" s="2">
        <v>95</v>
      </c>
      <c r="F34" s="2">
        <v>184</v>
      </c>
      <c r="G34" s="2">
        <v>8</v>
      </c>
      <c r="H34" s="2">
        <v>2</v>
      </c>
      <c r="I34" s="2">
        <v>365</v>
      </c>
      <c r="J34" s="15">
        <f t="shared" si="6"/>
        <v>23</v>
      </c>
      <c r="K34" s="19">
        <f t="shared" si="7"/>
        <v>1.0869565217391304</v>
      </c>
      <c r="L34" s="15">
        <f t="shared" si="8"/>
        <v>45.625</v>
      </c>
      <c r="M34" s="20" t="str">
        <f t="shared" si="9"/>
        <v>High</v>
      </c>
      <c r="N34" s="12">
        <f t="shared" si="10"/>
        <v>94.073913043478257</v>
      </c>
      <c r="O34" s="21" t="str">
        <f t="shared" si="11"/>
        <v>Excellent</v>
      </c>
    </row>
    <row r="35" spans="1:15" x14ac:dyDescent="0.25">
      <c r="A35" s="3">
        <v>46243</v>
      </c>
      <c r="B35" s="2" t="s">
        <v>14</v>
      </c>
      <c r="C35" s="2" t="str">
        <f>VLOOKUP(B35,Picker_Master!A:B,2,FALSE)</f>
        <v>Rohit</v>
      </c>
      <c r="D35" s="2" t="s">
        <v>18</v>
      </c>
      <c r="E35" s="2">
        <v>74</v>
      </c>
      <c r="F35" s="2">
        <v>142</v>
      </c>
      <c r="G35" s="2">
        <v>7</v>
      </c>
      <c r="H35" s="2">
        <v>5</v>
      </c>
      <c r="I35" s="2">
        <v>285</v>
      </c>
      <c r="J35" s="15">
        <f t="shared" si="6"/>
        <v>20.285714285714285</v>
      </c>
      <c r="K35" s="19">
        <f t="shared" si="7"/>
        <v>3.5211267605633805</v>
      </c>
      <c r="L35" s="15">
        <f t="shared" si="8"/>
        <v>40.714285714285715</v>
      </c>
      <c r="M35" s="20" t="str">
        <f t="shared" si="9"/>
        <v>High</v>
      </c>
      <c r="N35" s="12">
        <f t="shared" si="10"/>
        <v>85.743661971830988</v>
      </c>
      <c r="O35" s="21" t="str">
        <f t="shared" si="11"/>
        <v>Excellent</v>
      </c>
    </row>
    <row r="36" spans="1:15" x14ac:dyDescent="0.25">
      <c r="A36" s="3">
        <v>46244</v>
      </c>
      <c r="B36" s="2" t="s">
        <v>9</v>
      </c>
      <c r="C36" s="2" t="str">
        <f>VLOOKUP(B36,Picker_Master!A:B,2,FALSE)</f>
        <v>Himanshu</v>
      </c>
      <c r="D36" s="2" t="s">
        <v>11</v>
      </c>
      <c r="E36" s="2">
        <v>90</v>
      </c>
      <c r="F36" s="2">
        <v>173</v>
      </c>
      <c r="G36" s="2">
        <v>8</v>
      </c>
      <c r="H36" s="2">
        <v>2</v>
      </c>
      <c r="I36" s="2">
        <v>350</v>
      </c>
      <c r="J36" s="15">
        <f t="shared" si="6"/>
        <v>21.625</v>
      </c>
      <c r="K36" s="19">
        <f t="shared" si="7"/>
        <v>1.1560693641618498</v>
      </c>
      <c r="L36" s="15">
        <f t="shared" si="8"/>
        <v>43.75</v>
      </c>
      <c r="M36" s="20" t="str">
        <f t="shared" si="9"/>
        <v>High</v>
      </c>
      <c r="N36" s="12">
        <f t="shared" si="10"/>
        <v>90.203179190751442</v>
      </c>
      <c r="O36" s="21" t="str">
        <f t="shared" si="11"/>
        <v>Excellent</v>
      </c>
    </row>
    <row r="37" spans="1:15" x14ac:dyDescent="0.25">
      <c r="A37" s="3">
        <v>46244</v>
      </c>
      <c r="B37" s="2" t="s">
        <v>12</v>
      </c>
      <c r="C37" s="2" t="str">
        <f>VLOOKUP(B37,Picker_Master!A:B,2,FALSE)</f>
        <v>Rahul</v>
      </c>
      <c r="D37" s="2" t="s">
        <v>11</v>
      </c>
      <c r="E37" s="2">
        <v>78</v>
      </c>
      <c r="F37" s="2">
        <v>149</v>
      </c>
      <c r="G37" s="2">
        <v>8</v>
      </c>
      <c r="H37" s="2">
        <v>4</v>
      </c>
      <c r="I37" s="2">
        <v>300</v>
      </c>
      <c r="J37" s="15">
        <f t="shared" si="6"/>
        <v>18.625</v>
      </c>
      <c r="K37" s="19">
        <f t="shared" si="7"/>
        <v>2.6845637583892619</v>
      </c>
      <c r="L37" s="15">
        <f t="shared" si="8"/>
        <v>37.5</v>
      </c>
      <c r="M37" s="20" t="str">
        <f t="shared" si="9"/>
        <v>Average</v>
      </c>
      <c r="N37" s="12">
        <f t="shared" si="10"/>
        <v>81.344630872483222</v>
      </c>
      <c r="O37" s="21" t="str">
        <f t="shared" si="11"/>
        <v>Good</v>
      </c>
    </row>
    <row r="38" spans="1:15" x14ac:dyDescent="0.25">
      <c r="A38" s="3">
        <v>46244</v>
      </c>
      <c r="B38" s="2" t="s">
        <v>13</v>
      </c>
      <c r="C38" s="2" t="str">
        <f>VLOOKUP(B38,Picker_Master!A:B,2,FALSE)</f>
        <v>Amit</v>
      </c>
      <c r="D38" s="2" t="s">
        <v>18</v>
      </c>
      <c r="E38" s="2">
        <v>97</v>
      </c>
      <c r="F38" s="2">
        <v>188</v>
      </c>
      <c r="G38" s="2">
        <v>8</v>
      </c>
      <c r="H38" s="2">
        <v>2</v>
      </c>
      <c r="I38" s="2">
        <v>375</v>
      </c>
      <c r="J38" s="15">
        <f t="shared" si="6"/>
        <v>23.5</v>
      </c>
      <c r="K38" s="19">
        <f t="shared" si="7"/>
        <v>1.0638297872340425</v>
      </c>
      <c r="L38" s="15">
        <f t="shared" si="8"/>
        <v>46.875</v>
      </c>
      <c r="M38" s="20" t="str">
        <f t="shared" si="9"/>
        <v>High</v>
      </c>
      <c r="N38" s="12">
        <f t="shared" si="10"/>
        <v>95.480851063829789</v>
      </c>
      <c r="O38" s="21" t="str">
        <f t="shared" si="11"/>
        <v>Excellent</v>
      </c>
    </row>
    <row r="39" spans="1:15" x14ac:dyDescent="0.25">
      <c r="A39" s="3">
        <v>46244</v>
      </c>
      <c r="B39" s="2" t="s">
        <v>14</v>
      </c>
      <c r="C39" s="2" t="str">
        <f>VLOOKUP(B39,Picker_Master!A:B,2,FALSE)</f>
        <v>Rohit</v>
      </c>
      <c r="D39" s="2" t="s">
        <v>18</v>
      </c>
      <c r="E39" s="2">
        <v>72</v>
      </c>
      <c r="F39" s="2">
        <v>139</v>
      </c>
      <c r="G39" s="2">
        <v>7</v>
      </c>
      <c r="H39" s="2">
        <v>5</v>
      </c>
      <c r="I39" s="2">
        <v>280</v>
      </c>
      <c r="J39" s="15">
        <f t="shared" si="6"/>
        <v>19.857142857142858</v>
      </c>
      <c r="K39" s="19">
        <f t="shared" si="7"/>
        <v>3.5971223021582737</v>
      </c>
      <c r="L39" s="15">
        <f t="shared" si="8"/>
        <v>40</v>
      </c>
      <c r="M39" s="20" t="str">
        <f t="shared" si="9"/>
        <v>Average</v>
      </c>
      <c r="N39" s="12">
        <f t="shared" si="10"/>
        <v>84.520863309352521</v>
      </c>
      <c r="O39" s="21" t="str">
        <f t="shared" si="11"/>
        <v>Good</v>
      </c>
    </row>
    <row r="40" spans="1:15" x14ac:dyDescent="0.25">
      <c r="A40" s="3">
        <v>46245</v>
      </c>
      <c r="B40" s="2" t="s">
        <v>9</v>
      </c>
      <c r="C40" s="2" t="str">
        <f>VLOOKUP(B40,Picker_Master!A:B,2,FALSE)</f>
        <v>Himanshu</v>
      </c>
      <c r="D40" s="2" t="s">
        <v>11</v>
      </c>
      <c r="E40" s="2">
        <v>88</v>
      </c>
      <c r="F40" s="2">
        <v>169</v>
      </c>
      <c r="G40" s="2">
        <v>8</v>
      </c>
      <c r="H40" s="2">
        <v>3</v>
      </c>
      <c r="I40" s="2">
        <v>340</v>
      </c>
      <c r="J40" s="15">
        <f t="shared" si="6"/>
        <v>21.125</v>
      </c>
      <c r="K40" s="19">
        <f t="shared" si="7"/>
        <v>1.7751479289940828</v>
      </c>
      <c r="L40" s="15">
        <f t="shared" si="8"/>
        <v>42.5</v>
      </c>
      <c r="M40" s="20" t="str">
        <f t="shared" si="9"/>
        <v>High</v>
      </c>
      <c r="N40" s="12">
        <f t="shared" si="10"/>
        <v>88.617455621301772</v>
      </c>
      <c r="O40" s="21" t="str">
        <f t="shared" si="11"/>
        <v>Excellent</v>
      </c>
    </row>
    <row r="41" spans="1:15" x14ac:dyDescent="0.25">
      <c r="A41" s="3">
        <v>46245</v>
      </c>
      <c r="B41" s="2" t="s">
        <v>12</v>
      </c>
      <c r="C41" s="2" t="str">
        <f>VLOOKUP(B41,Picker_Master!A:B,2,FALSE)</f>
        <v>Rahul</v>
      </c>
      <c r="D41" s="2" t="s">
        <v>11</v>
      </c>
      <c r="E41" s="2">
        <v>82</v>
      </c>
      <c r="F41" s="2">
        <v>157</v>
      </c>
      <c r="G41" s="2">
        <v>8</v>
      </c>
      <c r="H41" s="2">
        <v>3</v>
      </c>
      <c r="I41" s="2">
        <v>320</v>
      </c>
      <c r="J41" s="15">
        <f t="shared" si="6"/>
        <v>19.625</v>
      </c>
      <c r="K41" s="19">
        <f t="shared" si="7"/>
        <v>1.910828025477707</v>
      </c>
      <c r="L41" s="15">
        <f t="shared" si="8"/>
        <v>40</v>
      </c>
      <c r="M41" s="20" t="str">
        <f t="shared" si="9"/>
        <v>Average</v>
      </c>
      <c r="N41" s="12">
        <f t="shared" si="10"/>
        <v>84.376751592356698</v>
      </c>
      <c r="O41" s="21" t="str">
        <f t="shared" si="11"/>
        <v>Good</v>
      </c>
    </row>
    <row r="42" spans="1:15" x14ac:dyDescent="0.25">
      <c r="A42" s="3">
        <v>46245</v>
      </c>
      <c r="B42" s="2" t="s">
        <v>13</v>
      </c>
      <c r="C42" s="2" t="str">
        <f>VLOOKUP(B42,Picker_Master!A:B,2,FALSE)</f>
        <v>Amit</v>
      </c>
      <c r="D42" s="2" t="s">
        <v>18</v>
      </c>
      <c r="E42" s="2">
        <v>93</v>
      </c>
      <c r="F42" s="2">
        <v>180</v>
      </c>
      <c r="G42" s="2">
        <v>8</v>
      </c>
      <c r="H42" s="2">
        <v>2</v>
      </c>
      <c r="I42" s="2">
        <v>360</v>
      </c>
      <c r="J42" s="15">
        <f t="shared" si="6"/>
        <v>22.5</v>
      </c>
      <c r="K42" s="19">
        <f t="shared" si="7"/>
        <v>1.1111111111111112</v>
      </c>
      <c r="L42" s="15">
        <f t="shared" si="8"/>
        <v>45</v>
      </c>
      <c r="M42" s="20" t="str">
        <f t="shared" si="9"/>
        <v>High</v>
      </c>
      <c r="N42" s="12">
        <f t="shared" si="10"/>
        <v>92.666666666666671</v>
      </c>
      <c r="O42" s="21" t="str">
        <f t="shared" si="11"/>
        <v>Excellent</v>
      </c>
    </row>
    <row r="43" spans="1:15" x14ac:dyDescent="0.25">
      <c r="A43" s="3">
        <v>46245</v>
      </c>
      <c r="B43" s="2" t="s">
        <v>14</v>
      </c>
      <c r="C43" s="2" t="str">
        <f>VLOOKUP(B43,Picker_Master!A:B,2,FALSE)</f>
        <v>Rohit</v>
      </c>
      <c r="D43" s="2" t="s">
        <v>18</v>
      </c>
      <c r="E43" s="2">
        <v>77</v>
      </c>
      <c r="F43" s="2">
        <v>147</v>
      </c>
      <c r="G43" s="2">
        <v>7</v>
      </c>
      <c r="H43" s="2">
        <v>4</v>
      </c>
      <c r="I43" s="2">
        <v>295</v>
      </c>
      <c r="J43" s="15">
        <f t="shared" si="6"/>
        <v>21</v>
      </c>
      <c r="K43" s="19">
        <f t="shared" si="7"/>
        <v>2.7210884353741496</v>
      </c>
      <c r="L43" s="15">
        <f t="shared" si="8"/>
        <v>42.142857142857146</v>
      </c>
      <c r="M43" s="20" t="str">
        <f t="shared" si="9"/>
        <v>High</v>
      </c>
      <c r="N43" s="12">
        <f t="shared" si="10"/>
        <v>87.983673469387753</v>
      </c>
      <c r="O43" s="21" t="str">
        <f t="shared" si="11"/>
        <v>Excellent</v>
      </c>
    </row>
    <row r="44" spans="1:15" x14ac:dyDescent="0.25">
      <c r="A44" s="3">
        <v>46246</v>
      </c>
      <c r="B44" s="2" t="s">
        <v>9</v>
      </c>
      <c r="C44" s="2" t="str">
        <f>VLOOKUP(B44,Picker_Master!A:B,2,FALSE)</f>
        <v>Himanshu</v>
      </c>
      <c r="D44" s="2" t="s">
        <v>11</v>
      </c>
      <c r="E44" s="2">
        <v>92</v>
      </c>
      <c r="F44" s="2">
        <v>177</v>
      </c>
      <c r="G44" s="2">
        <v>8</v>
      </c>
      <c r="H44" s="2">
        <v>2</v>
      </c>
      <c r="I44" s="2">
        <v>355</v>
      </c>
      <c r="J44" s="15">
        <f t="shared" si="6"/>
        <v>22.125</v>
      </c>
      <c r="K44" s="19">
        <f t="shared" si="7"/>
        <v>1.1299435028248588</v>
      </c>
      <c r="L44" s="15">
        <f t="shared" si="8"/>
        <v>44.375</v>
      </c>
      <c r="M44" s="20" t="str">
        <f t="shared" si="9"/>
        <v>High</v>
      </c>
      <c r="N44" s="12">
        <f t="shared" si="10"/>
        <v>91.611016949152543</v>
      </c>
      <c r="O44" s="21" t="str">
        <f t="shared" si="11"/>
        <v>Excellent</v>
      </c>
    </row>
    <row r="45" spans="1:15" x14ac:dyDescent="0.25">
      <c r="A45" s="3">
        <v>46246</v>
      </c>
      <c r="B45" s="2" t="s">
        <v>12</v>
      </c>
      <c r="C45" s="2" t="str">
        <f>VLOOKUP(B45,Picker_Master!A:B,2,FALSE)</f>
        <v>Rahul</v>
      </c>
      <c r="D45" s="2" t="s">
        <v>11</v>
      </c>
      <c r="E45" s="2">
        <v>76</v>
      </c>
      <c r="F45" s="2">
        <v>146</v>
      </c>
      <c r="G45" s="2">
        <v>8</v>
      </c>
      <c r="H45" s="2">
        <v>5</v>
      </c>
      <c r="I45" s="2">
        <v>295</v>
      </c>
      <c r="J45" s="15">
        <f t="shared" si="6"/>
        <v>18.25</v>
      </c>
      <c r="K45" s="19">
        <f t="shared" si="7"/>
        <v>3.4246575342465753</v>
      </c>
      <c r="L45" s="15">
        <f t="shared" si="8"/>
        <v>36.875</v>
      </c>
      <c r="M45" s="20" t="str">
        <f t="shared" si="9"/>
        <v>Average</v>
      </c>
      <c r="N45" s="12">
        <f t="shared" si="10"/>
        <v>80.072602739726022</v>
      </c>
      <c r="O45" s="21" t="str">
        <f t="shared" si="11"/>
        <v>Good</v>
      </c>
    </row>
    <row r="46" spans="1:15" x14ac:dyDescent="0.25">
      <c r="A46" s="3">
        <v>46246</v>
      </c>
      <c r="B46" s="2" t="s">
        <v>13</v>
      </c>
      <c r="C46" s="2" t="str">
        <f>VLOOKUP(B46,Picker_Master!A:B,2,FALSE)</f>
        <v>Amit</v>
      </c>
      <c r="D46" s="2" t="s">
        <v>18</v>
      </c>
      <c r="E46" s="2">
        <v>100</v>
      </c>
      <c r="F46" s="2">
        <v>195</v>
      </c>
      <c r="G46" s="2">
        <v>8</v>
      </c>
      <c r="H46" s="2">
        <v>1</v>
      </c>
      <c r="I46" s="2">
        <v>385</v>
      </c>
      <c r="J46" s="15">
        <f t="shared" si="6"/>
        <v>24.375</v>
      </c>
      <c r="K46" s="19">
        <f t="shared" si="7"/>
        <v>0.51282051282051289</v>
      </c>
      <c r="L46" s="15">
        <f t="shared" si="8"/>
        <v>48.125</v>
      </c>
      <c r="M46" s="20" t="str">
        <f t="shared" si="9"/>
        <v>High</v>
      </c>
      <c r="N46" s="12">
        <f t="shared" si="10"/>
        <v>98.09615384615384</v>
      </c>
      <c r="O46" s="21" t="str">
        <f t="shared" si="11"/>
        <v>Excellent</v>
      </c>
    </row>
    <row r="47" spans="1:15" x14ac:dyDescent="0.25">
      <c r="A47" s="3">
        <v>46246</v>
      </c>
      <c r="B47" s="2" t="s">
        <v>14</v>
      </c>
      <c r="C47" s="2" t="str">
        <f>VLOOKUP(B47,Picker_Master!A:B,2,FALSE)</f>
        <v>Rohit</v>
      </c>
      <c r="D47" s="2" t="s">
        <v>18</v>
      </c>
      <c r="E47" s="2">
        <v>70</v>
      </c>
      <c r="F47" s="2">
        <v>135</v>
      </c>
      <c r="G47" s="2">
        <v>7</v>
      </c>
      <c r="H47" s="2">
        <v>6</v>
      </c>
      <c r="I47" s="2">
        <v>275</v>
      </c>
      <c r="J47" s="15">
        <f t="shared" si="6"/>
        <v>19.285714285714285</v>
      </c>
      <c r="K47" s="19">
        <f t="shared" si="7"/>
        <v>4.4444444444444438</v>
      </c>
      <c r="L47" s="15">
        <f t="shared" si="8"/>
        <v>39.285714285714285</v>
      </c>
      <c r="M47" s="20" t="str">
        <f t="shared" si="9"/>
        <v>Average</v>
      </c>
      <c r="N47" s="12">
        <f t="shared" si="10"/>
        <v>82.666666666666657</v>
      </c>
      <c r="O47" s="21" t="str">
        <f t="shared" si="11"/>
        <v>Good</v>
      </c>
    </row>
    <row r="48" spans="1:15" x14ac:dyDescent="0.25">
      <c r="A48" s="3">
        <v>46247</v>
      </c>
      <c r="B48" s="2" t="s">
        <v>9</v>
      </c>
      <c r="C48" s="2" t="str">
        <f>VLOOKUP(B48,Picker_Master!A:B,2,FALSE)</f>
        <v>Himanshu</v>
      </c>
      <c r="D48" s="2" t="s">
        <v>11</v>
      </c>
      <c r="E48" s="2">
        <v>86</v>
      </c>
      <c r="F48" s="2">
        <v>166</v>
      </c>
      <c r="G48" s="2">
        <v>8</v>
      </c>
      <c r="H48" s="2">
        <v>3</v>
      </c>
      <c r="I48" s="2">
        <v>335</v>
      </c>
      <c r="J48" s="15">
        <f t="shared" si="6"/>
        <v>20.75</v>
      </c>
      <c r="K48" s="19">
        <f t="shared" si="7"/>
        <v>1.8072289156626506</v>
      </c>
      <c r="L48" s="15">
        <f t="shared" si="8"/>
        <v>41.875</v>
      </c>
      <c r="M48" s="20" t="str">
        <f t="shared" si="9"/>
        <v>High</v>
      </c>
      <c r="N48" s="12">
        <f t="shared" si="10"/>
        <v>87.557831325301194</v>
      </c>
      <c r="O48" s="21" t="str">
        <f t="shared" si="11"/>
        <v>Excellent</v>
      </c>
    </row>
    <row r="49" spans="1:15" x14ac:dyDescent="0.25">
      <c r="A49" s="3">
        <v>46247</v>
      </c>
      <c r="B49" s="2" t="s">
        <v>12</v>
      </c>
      <c r="C49" s="2" t="str">
        <f>VLOOKUP(B49,Picker_Master!A:B,2,FALSE)</f>
        <v>Rahul</v>
      </c>
      <c r="D49" s="2" t="s">
        <v>11</v>
      </c>
      <c r="E49" s="2">
        <v>84</v>
      </c>
      <c r="F49" s="2">
        <v>161</v>
      </c>
      <c r="G49" s="2">
        <v>8</v>
      </c>
      <c r="H49" s="2">
        <v>2</v>
      </c>
      <c r="I49" s="2">
        <v>325</v>
      </c>
      <c r="J49" s="15">
        <f t="shared" si="6"/>
        <v>20.125</v>
      </c>
      <c r="K49" s="19">
        <f t="shared" si="7"/>
        <v>1.2422360248447204</v>
      </c>
      <c r="L49" s="15">
        <f t="shared" si="8"/>
        <v>40.625</v>
      </c>
      <c r="M49" s="20" t="str">
        <f t="shared" si="9"/>
        <v>High</v>
      </c>
      <c r="N49" s="12">
        <f t="shared" si="10"/>
        <v>85.977329192546591</v>
      </c>
      <c r="O49" s="21" t="str">
        <f t="shared" si="11"/>
        <v>Excellent</v>
      </c>
    </row>
    <row r="50" spans="1:15" x14ac:dyDescent="0.25">
      <c r="A50" s="3">
        <v>46247</v>
      </c>
      <c r="B50" s="2" t="s">
        <v>13</v>
      </c>
      <c r="C50" s="2" t="str">
        <f>VLOOKUP(B50,Picker_Master!A:B,2,FALSE)</f>
        <v>Amit</v>
      </c>
      <c r="D50" s="2" t="s">
        <v>18</v>
      </c>
      <c r="E50" s="2">
        <v>98</v>
      </c>
      <c r="F50" s="2">
        <v>190</v>
      </c>
      <c r="G50" s="2">
        <v>8</v>
      </c>
      <c r="H50" s="2">
        <v>2</v>
      </c>
      <c r="I50" s="2">
        <v>380</v>
      </c>
      <c r="J50" s="15">
        <f t="shared" si="6"/>
        <v>23.75</v>
      </c>
      <c r="K50" s="19">
        <f t="shared" si="7"/>
        <v>1.0526315789473684</v>
      </c>
      <c r="L50" s="15">
        <f t="shared" si="8"/>
        <v>47.5</v>
      </c>
      <c r="M50" s="20" t="str">
        <f t="shared" si="9"/>
        <v>High</v>
      </c>
      <c r="N50" s="12">
        <f t="shared" si="10"/>
        <v>96.18421052631578</v>
      </c>
      <c r="O50" s="21" t="str">
        <f t="shared" si="11"/>
        <v>Excellent</v>
      </c>
    </row>
    <row r="51" spans="1:15" x14ac:dyDescent="0.25">
      <c r="A51" s="8">
        <v>46247</v>
      </c>
      <c r="B51" s="9" t="s">
        <v>14</v>
      </c>
      <c r="C51" s="2" t="str">
        <f>VLOOKUP(B51,Picker_Master!A:B,2,FALSE)</f>
        <v>Rohit</v>
      </c>
      <c r="D51" s="9" t="s">
        <v>18</v>
      </c>
      <c r="E51" s="9">
        <v>75</v>
      </c>
      <c r="F51" s="9">
        <v>144</v>
      </c>
      <c r="G51" s="9">
        <v>7</v>
      </c>
      <c r="H51" s="9">
        <v>4</v>
      </c>
      <c r="I51" s="9">
        <v>290</v>
      </c>
      <c r="J51" s="16">
        <f t="shared" si="6"/>
        <v>20.571428571428573</v>
      </c>
      <c r="K51" s="22">
        <f t="shared" si="7"/>
        <v>2.7777777777777777</v>
      </c>
      <c r="L51" s="16">
        <f t="shared" si="8"/>
        <v>41.428571428571431</v>
      </c>
      <c r="M51" s="23" t="str">
        <f t="shared" si="9"/>
        <v>High</v>
      </c>
      <c r="N51" s="13">
        <f t="shared" si="10"/>
        <v>86.76666666666668</v>
      </c>
      <c r="O51" s="24" t="str">
        <f t="shared" si="11"/>
        <v>Excellent</v>
      </c>
    </row>
  </sheetData>
  <conditionalFormatting sqref="O2:O51">
    <cfRule type="containsText" dxfId="40" priority="2" operator="containsText" text="God">
      <formula>NOT(ISERROR(SEARCH("God",O2)))</formula>
    </cfRule>
    <cfRule type="containsText" dxfId="39" priority="3" operator="containsText" text="Excellent">
      <formula>NOT(ISERROR(SEARCH("Excellent",O2)))</formula>
    </cfRule>
  </conditionalFormatting>
  <conditionalFormatting sqref="K2:K51">
    <cfRule type="containsText" dxfId="38" priority="1" operator="containsText" text="2">
      <formula>NOT(ISERROR(SEARCH("2",K2)))</formula>
    </cfRule>
  </conditionalFormatting>
  <pageMargins left="0.7" right="0.7" top="0.75" bottom="0.75" header="0.3" footer="0.3"/>
  <pageSetup orientation="portrait" horizontalDpi="200" verticalDpi="200" copies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zoomScale="120" zoomScaleNormal="120" workbookViewId="0">
      <selection activeCell="D5" sqref="D5"/>
    </sheetView>
  </sheetViews>
  <sheetFormatPr defaultRowHeight="15" x14ac:dyDescent="0.25"/>
  <cols>
    <col min="1" max="1" width="11.42578125" customWidth="1"/>
    <col min="2" max="2" width="14.85546875" customWidth="1"/>
    <col min="3" max="3" width="8" customWidth="1"/>
  </cols>
  <sheetData>
    <row r="1" spans="1:3" x14ac:dyDescent="0.25">
      <c r="A1" s="27" t="s">
        <v>1</v>
      </c>
      <c r="B1" s="27" t="s">
        <v>2</v>
      </c>
      <c r="C1" s="17"/>
    </row>
    <row r="2" spans="1:3" x14ac:dyDescent="0.25">
      <c r="A2" s="27" t="s">
        <v>9</v>
      </c>
      <c r="B2" s="27" t="s">
        <v>10</v>
      </c>
      <c r="C2" s="17"/>
    </row>
    <row r="3" spans="1:3" x14ac:dyDescent="0.25">
      <c r="A3" s="27" t="s">
        <v>12</v>
      </c>
      <c r="B3" s="27" t="s">
        <v>25</v>
      </c>
      <c r="C3" s="17"/>
    </row>
    <row r="4" spans="1:3" x14ac:dyDescent="0.25">
      <c r="A4" s="27" t="s">
        <v>13</v>
      </c>
      <c r="B4" s="27" t="s">
        <v>16</v>
      </c>
      <c r="C4" s="17"/>
    </row>
    <row r="5" spans="1:3" x14ac:dyDescent="0.25">
      <c r="A5" s="27" t="s">
        <v>14</v>
      </c>
      <c r="B5" s="27" t="s">
        <v>17</v>
      </c>
      <c r="C5" s="17"/>
    </row>
    <row r="6" spans="1:3" x14ac:dyDescent="0.25">
      <c r="C6" s="18"/>
    </row>
  </sheetData>
  <pageMargins left="0.7" right="0.7" top="0.75" bottom="0.75" header="0.3" footer="0.3"/>
  <pageSetup orientation="portrait" horizontalDpi="200" verticalDpi="20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C14" sqref="C14"/>
    </sheetView>
  </sheetViews>
  <sheetFormatPr defaultRowHeight="15" x14ac:dyDescent="0.25"/>
  <cols>
    <col min="1" max="1" width="13.140625" bestFit="1" customWidth="1"/>
    <col min="2" max="2" width="19.28515625" customWidth="1"/>
    <col min="3" max="3" width="15.7109375" customWidth="1"/>
  </cols>
  <sheetData>
    <row r="3" spans="1:2" x14ac:dyDescent="0.25">
      <c r="A3" s="28" t="s">
        <v>26</v>
      </c>
      <c r="B3" s="2" t="s">
        <v>29</v>
      </c>
    </row>
    <row r="4" spans="1:2" x14ac:dyDescent="0.25">
      <c r="A4" s="2" t="s">
        <v>16</v>
      </c>
      <c r="B4" s="29">
        <v>23.25</v>
      </c>
    </row>
    <row r="5" spans="1:2" x14ac:dyDescent="0.25">
      <c r="A5" s="2" t="s">
        <v>10</v>
      </c>
      <c r="B5" s="29">
        <v>20.932692307692307</v>
      </c>
    </row>
    <row r="6" spans="1:2" x14ac:dyDescent="0.25">
      <c r="A6" s="2" t="s">
        <v>25</v>
      </c>
      <c r="B6" s="29">
        <v>19.05</v>
      </c>
    </row>
    <row r="7" spans="1:2" x14ac:dyDescent="0.25">
      <c r="A7" s="2" t="s">
        <v>15</v>
      </c>
      <c r="B7" s="29">
        <v>18.333333333333332</v>
      </c>
    </row>
    <row r="8" spans="1:2" x14ac:dyDescent="0.25">
      <c r="A8" s="2" t="s">
        <v>17</v>
      </c>
      <c r="B8" s="29">
        <v>19.785714285714285</v>
      </c>
    </row>
    <row r="9" spans="1:2" x14ac:dyDescent="0.25">
      <c r="A9" s="2" t="s">
        <v>27</v>
      </c>
      <c r="B9" s="12">
        <v>20.681071428571432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6"/>
  <sheetViews>
    <sheetView workbookViewId="0">
      <selection activeCell="F7" sqref="F7"/>
    </sheetView>
  </sheetViews>
  <sheetFormatPr defaultRowHeight="15" x14ac:dyDescent="0.25"/>
  <cols>
    <col min="1" max="1" width="13.140625" bestFit="1" customWidth="1"/>
    <col min="2" max="2" width="13.7109375" bestFit="1" customWidth="1"/>
    <col min="3" max="3" width="19.7109375" bestFit="1" customWidth="1"/>
    <col min="4" max="4" width="12.7109375" bestFit="1" customWidth="1"/>
    <col min="5" max="5" width="19.28515625" bestFit="1" customWidth="1"/>
  </cols>
  <sheetData>
    <row r="3" spans="1:5" x14ac:dyDescent="0.25">
      <c r="A3" s="30" t="s">
        <v>26</v>
      </c>
      <c r="B3" s="31" t="s">
        <v>31</v>
      </c>
      <c r="C3" s="31" t="s">
        <v>28</v>
      </c>
      <c r="D3" s="31" t="s">
        <v>32</v>
      </c>
      <c r="E3" s="31" t="s">
        <v>29</v>
      </c>
    </row>
    <row r="4" spans="1:5" x14ac:dyDescent="0.25">
      <c r="A4" s="31" t="s">
        <v>18</v>
      </c>
      <c r="B4" s="32">
        <v>2016</v>
      </c>
      <c r="C4" s="32">
        <v>3894</v>
      </c>
      <c r="D4" s="32">
        <v>83</v>
      </c>
      <c r="E4" s="33">
        <v>21.517857142857142</v>
      </c>
    </row>
    <row r="5" spans="1:5" x14ac:dyDescent="0.25">
      <c r="A5" s="31" t="s">
        <v>11</v>
      </c>
      <c r="B5" s="32">
        <v>2157</v>
      </c>
      <c r="C5" s="32">
        <v>4141</v>
      </c>
      <c r="D5" s="32">
        <v>87</v>
      </c>
      <c r="E5" s="33">
        <v>19.908653846153847</v>
      </c>
    </row>
    <row r="6" spans="1:5" x14ac:dyDescent="0.25">
      <c r="A6" s="31" t="s">
        <v>27</v>
      </c>
      <c r="B6" s="32">
        <v>4173</v>
      </c>
      <c r="C6" s="32">
        <v>8035</v>
      </c>
      <c r="D6" s="32">
        <v>170</v>
      </c>
      <c r="E6" s="33">
        <v>20.681071428571432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"/>
  <sheetViews>
    <sheetView workbookViewId="0">
      <selection activeCell="B15" sqref="B15"/>
    </sheetView>
  </sheetViews>
  <sheetFormatPr defaultRowHeight="15" x14ac:dyDescent="0.25"/>
  <cols>
    <col min="1" max="1" width="13.140625" bestFit="1" customWidth="1"/>
    <col min="2" max="2" width="28.85546875" customWidth="1"/>
    <col min="3" max="3" width="19.5703125" bestFit="1" customWidth="1"/>
    <col min="4" max="4" width="19.28515625" bestFit="1" customWidth="1"/>
    <col min="5" max="5" width="16" bestFit="1" customWidth="1"/>
  </cols>
  <sheetData>
    <row r="3" spans="1:5" x14ac:dyDescent="0.25">
      <c r="A3" s="28" t="s">
        <v>26</v>
      </c>
      <c r="B3" s="2" t="s">
        <v>34</v>
      </c>
      <c r="C3" s="2" t="s">
        <v>30</v>
      </c>
      <c r="D3" s="2" t="s">
        <v>29</v>
      </c>
      <c r="E3" s="2" t="s">
        <v>33</v>
      </c>
    </row>
    <row r="4" spans="1:5" x14ac:dyDescent="0.25">
      <c r="A4" s="2" t="s">
        <v>16</v>
      </c>
      <c r="B4" s="15">
        <v>94.775589048504415</v>
      </c>
      <c r="C4" s="12">
        <v>1.0813698383186658</v>
      </c>
      <c r="D4" s="15">
        <v>23.25</v>
      </c>
      <c r="E4" s="21">
        <v>4420</v>
      </c>
    </row>
    <row r="5" spans="1:5" x14ac:dyDescent="0.25">
      <c r="A5" s="2" t="s">
        <v>10</v>
      </c>
      <c r="B5" s="15">
        <v>88.083748299803545</v>
      </c>
      <c r="C5" s="12">
        <v>1.7593005391164485</v>
      </c>
      <c r="D5" s="15">
        <v>20.932692307692307</v>
      </c>
      <c r="E5" s="21">
        <v>4395</v>
      </c>
    </row>
    <row r="6" spans="1:5" x14ac:dyDescent="0.25">
      <c r="A6" s="2" t="s">
        <v>25</v>
      </c>
      <c r="B6" s="15">
        <v>82.624444504416743</v>
      </c>
      <c r="C6" s="12">
        <v>2.3851849852775033</v>
      </c>
      <c r="D6" s="15">
        <v>19.05</v>
      </c>
      <c r="E6" s="21">
        <v>3100</v>
      </c>
    </row>
    <row r="7" spans="1:5" x14ac:dyDescent="0.25">
      <c r="A7" s="2" t="s">
        <v>15</v>
      </c>
      <c r="B7" s="15">
        <v>80.44421115148792</v>
      </c>
      <c r="C7" s="12">
        <v>2.963740606151362</v>
      </c>
      <c r="D7" s="15">
        <v>18.333333333333332</v>
      </c>
      <c r="E7" s="21">
        <v>895</v>
      </c>
    </row>
    <row r="8" spans="1:5" x14ac:dyDescent="0.25">
      <c r="A8" s="2" t="s">
        <v>17</v>
      </c>
      <c r="B8" s="15">
        <v>84.327848794534376</v>
      </c>
      <c r="C8" s="12">
        <v>3.5738373515520707</v>
      </c>
      <c r="D8" s="15">
        <v>19.785714285714285</v>
      </c>
      <c r="E8" s="21">
        <v>3370</v>
      </c>
    </row>
    <row r="9" spans="1:5" x14ac:dyDescent="0.25">
      <c r="A9" s="2" t="s">
        <v>27</v>
      </c>
      <c r="B9" s="15">
        <v>87.238141210250873</v>
      </c>
      <c r="C9" s="12">
        <v>2.2295292991638349</v>
      </c>
      <c r="D9" s="15">
        <v>20.681071428571432</v>
      </c>
      <c r="E9" s="21">
        <v>16180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selection activeCell="F6" sqref="F6"/>
    </sheetView>
  </sheetViews>
  <sheetFormatPr defaultRowHeight="15" x14ac:dyDescent="0.25"/>
  <cols>
    <col min="2" max="2" width="14.140625" bestFit="1" customWidth="1"/>
    <col min="4" max="4" width="15" bestFit="1" customWidth="1"/>
    <col min="6" max="6" width="14.28515625" bestFit="1" customWidth="1"/>
    <col min="8" max="8" width="16.140625" bestFit="1" customWidth="1"/>
    <col min="10" max="10" width="17.5703125" bestFit="1" customWidth="1"/>
    <col min="12" max="12" width="16" bestFit="1" customWidth="1"/>
  </cols>
  <sheetData>
    <row r="1" spans="1:12" ht="28.5" x14ac:dyDescent="0.45">
      <c r="A1" s="26" t="s">
        <v>42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5" spans="1:12" ht="15.75" x14ac:dyDescent="0.3">
      <c r="B5" s="2" t="s">
        <v>35</v>
      </c>
      <c r="D5" s="25" t="s">
        <v>36</v>
      </c>
      <c r="F5" s="2" t="s">
        <v>37</v>
      </c>
      <c r="H5" s="2" t="s">
        <v>38</v>
      </c>
      <c r="J5" s="25" t="s">
        <v>39</v>
      </c>
      <c r="L5" s="2" t="s">
        <v>40</v>
      </c>
    </row>
    <row r="6" spans="1:12" x14ac:dyDescent="0.25">
      <c r="B6" s="2">
        <f>SUM(Raw_Data!E2:E51)</f>
        <v>4173</v>
      </c>
      <c r="D6" s="2">
        <f>SUM(Raw_Data!F2:F51)</f>
        <v>8035</v>
      </c>
      <c r="F6" s="12">
        <f>AVERAGE(Raw_Data!J2:J51)</f>
        <v>20.681071428571432</v>
      </c>
      <c r="H6" s="12">
        <f>AVERAGE(Raw_Data!K2:K51)</f>
        <v>2.2295292991638349</v>
      </c>
      <c r="J6" s="2">
        <f>SUM(Raw_Data!I2:I51)</f>
        <v>16180</v>
      </c>
      <c r="L6" s="2" t="s">
        <v>41</v>
      </c>
    </row>
  </sheetData>
  <mergeCells count="1">
    <mergeCell ref="A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Picker_Master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CHAHAT</dc:creator>
  <cp:lastModifiedBy>CHAHAT</cp:lastModifiedBy>
  <dcterms:created xsi:type="dcterms:W3CDTF">2026-08-08T06:54:22Z</dcterms:created>
  <dcterms:modified xsi:type="dcterms:W3CDTF">2026-08-08T11:17:27Z</dcterms:modified>
</cp:coreProperties>
</file>